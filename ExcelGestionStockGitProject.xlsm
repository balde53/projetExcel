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slicers/slicer2.xml" ContentType="application/vnd.ms-excel.slicer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ulRahmane\Desktop\"/>
    </mc:Choice>
  </mc:AlternateContent>
  <xr:revisionPtr revIDLastSave="0" documentId="13_ncr:1_{6D222CBB-C1E0-470F-99B6-0A8C8F5DFD33}" xr6:coauthVersionLast="44" xr6:coauthVersionMax="44" xr10:uidLastSave="{00000000-0000-0000-0000-000000000000}"/>
  <bookViews>
    <workbookView xWindow="-120" yWindow="-120" windowWidth="20730" windowHeight="11160" xr2:uid="{F2F05A8F-97B9-46E0-8B2F-5AA44680A173}"/>
  </bookViews>
  <sheets>
    <sheet name="Tableau de Bord" sheetId="7" r:id="rId1"/>
    <sheet name="Operations" sheetId="1" r:id="rId2"/>
    <sheet name="Marchandise" sheetId="4" r:id="rId3"/>
    <sheet name="Entrées" sheetId="2" r:id="rId4"/>
    <sheet name="Sorties" sheetId="3" r:id="rId5"/>
    <sheet name="Iventaire" sheetId="6" r:id="rId6"/>
    <sheet name="Traitement" sheetId="5" r:id="rId7"/>
  </sheets>
  <definedNames>
    <definedName name="_xlcn.WorksheetConnection_Classeur1lescatégories1" hidden="1">lescatégories[]</definedName>
    <definedName name="_xlcn.WorksheetConnection_Classeur1LesRéférences1" hidden="1">LesRéférences[]</definedName>
    <definedName name="_xlcn.WorksheetConnection_Classeur1ListeAchat1" hidden="1">ListeAchat[]</definedName>
    <definedName name="_xlcn.WorksheetConnection_Classeur1ListeVente1" hidden="1">ListeVente[]</definedName>
    <definedName name="_xlcn.WorksheetConnection_Classeur1Récupérationautomatique.xlsmlesMois1" hidden="1">lesMois[]</definedName>
    <definedName name="Segment_Catégorie">#N/A</definedName>
    <definedName name="Segment_Mois">#N/A</definedName>
    <definedName name="Segment_Référence">#N/A</definedName>
  </definedNames>
  <calcPr calcId="191029"/>
  <pivotCaches>
    <pivotCache cacheId="792" r:id="rId8"/>
    <pivotCache cacheId="795" r:id="rId9"/>
    <pivotCache cacheId="798" r:id="rId10"/>
    <pivotCache cacheId="801" r:id="rId11"/>
    <pivotCache cacheId="804" r:id="rId12"/>
    <pivotCache cacheId="807" r:id="rId13"/>
    <pivotCache cacheId="810" r:id="rId14"/>
    <pivotCache cacheId="813" r:id="rId15"/>
    <pivotCache cacheId="816" r:id="rId16"/>
    <pivotCache cacheId="819" r:id="rId17"/>
    <pivotCache cacheId="822" r:id="rId18"/>
    <pivotCache cacheId="827" r:id="rId19"/>
  </pivotCaches>
  <fileRecoveryPr repairLoad="1"/>
  <extLst>
    <ext xmlns:x14="http://schemas.microsoft.com/office/spreadsheetml/2009/9/main" uri="{876F7934-8845-4945-9796-88D515C7AA90}">
      <x14:pivotCaches>
        <pivotCache cacheId="791" r:id="rId20"/>
      </x14:pivotCaches>
    </ext>
    <ext xmlns:x14="http://schemas.microsoft.com/office/spreadsheetml/2009/9/main" uri="{BBE1A952-AA13-448e-AADC-164F8A28A991}">
      <x14:slicerCaches>
        <x14:slicerCache r:id="rId21"/>
        <x14:slicerCache r:id="rId22"/>
        <x14:slicerCache r:id="rId2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ListeVente" name="ListeVente" connection="WorksheetConnection_Classeur1!ListeVente"/>
          <x15:modelTable id="ListeAchat" name="ListeAchat" connection="WorksheetConnection_Classeur1!ListeAchat"/>
          <x15:modelTable id="LesRéférences" name="LesRéférences" connection="WorksheetConnection_Classeur1!LesRéférences"/>
          <x15:modelTable id="lescatégories" name="lescatégories" connection="WorksheetConnection_Classeur1!lescatégories"/>
          <x15:modelTable id="lesMois" name="lesMois" connection="WorksheetConnection_Classeur1(Récupération automatique).xlsm!lesMois"/>
        </x15:modelTables>
        <x15:modelRelationships>
          <x15:modelRelationship fromTable="ListeAchat" fromColumn="Catégorie" toTable="lescatégories" toColumn="Catégorie"/>
          <x15:modelRelationship fromTable="ListeAchat" fromColumn="Référence" toTable="LesRéférences" toColumn="Référence"/>
          <x15:modelRelationship fromTable="ListeAchat" fromColumn="Date (mois)" toTable="lesMois" toColumn="Mois"/>
          <x15:modelRelationship fromTable="ListeVente" fromColumn="Catégorie" toTable="lescatégories" toColumn="Catégorie"/>
          <x15:modelRelationship fromTable="ListeVente" fromColumn="Référence" toTable="LesRéférences" toColumn="Référence"/>
          <x15:modelRelationship fromTable="ListeVente" fromColumn="Date (mois)" toTable="lesMois" toColumn="Mois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ListeAchat" columnName="Date" columnId="Date">
                <x16:calculatedTimeColumn columnName="Date (index des mois)" columnId="Date (index des mois)" contentType="monthsindex" isSelected="1"/>
                <x16:calculatedTimeColumn columnName="Date (mois)" columnId="Date (mois)" contentType="months" isSelected="1"/>
              </x16:modelTimeGrouping>
              <x16:modelTimeGrouping tableName="ListeVente" columnName="Date" columnId="Date">
                <x16:calculatedTimeColumn columnName="Date (index des mois)" columnId="Date (index des mois)" contentType="monthsindex" isSelected="1"/>
                <x16:calculatedTimeColumn columnName="Date (mois)" columnId="Date (moi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S1" i="7" l="1"/>
  <c r="D73" i="5" l="1"/>
  <c r="E73" i="5" s="1"/>
  <c r="F73" i="5" s="1"/>
  <c r="D72" i="5"/>
  <c r="E72" i="5" s="1"/>
  <c r="F72" i="5" s="1"/>
  <c r="E11" i="6"/>
  <c r="F11" i="6"/>
  <c r="G11" i="6"/>
  <c r="H11" i="6"/>
  <c r="I11" i="6"/>
  <c r="J11" i="6"/>
  <c r="K11" i="6"/>
  <c r="L11" i="6"/>
  <c r="O11" i="6" s="1"/>
  <c r="M11" i="6"/>
  <c r="N11" i="6" s="1"/>
  <c r="K16" i="4"/>
  <c r="E10" i="6"/>
  <c r="F10" i="6"/>
  <c r="G10" i="6"/>
  <c r="H10" i="6"/>
  <c r="I10" i="6"/>
  <c r="J10" i="6"/>
  <c r="K10" i="6"/>
  <c r="K17" i="4"/>
  <c r="M10" i="6" s="1"/>
  <c r="E9" i="5"/>
  <c r="E10" i="5"/>
  <c r="E8" i="5"/>
  <c r="E3" i="5"/>
  <c r="E4" i="5"/>
  <c r="E2" i="5"/>
  <c r="K18" i="4"/>
  <c r="K19" i="4"/>
  <c r="K20" i="4"/>
  <c r="K21" i="4"/>
  <c r="K22" i="4"/>
  <c r="L10" i="2"/>
  <c r="L11" i="2"/>
  <c r="L12" i="2"/>
  <c r="L13" i="2"/>
  <c r="L14" i="2"/>
  <c r="M7" i="6"/>
  <c r="M8" i="6"/>
  <c r="M9" i="6"/>
  <c r="K6" i="6"/>
  <c r="K7" i="6"/>
  <c r="K8" i="6"/>
  <c r="K9" i="6"/>
  <c r="J6" i="6"/>
  <c r="J7" i="6"/>
  <c r="J8" i="6"/>
  <c r="J9" i="6"/>
  <c r="I6" i="6"/>
  <c r="I7" i="6"/>
  <c r="I8" i="6"/>
  <c r="I9" i="6"/>
  <c r="H6" i="6"/>
  <c r="H7" i="6"/>
  <c r="H8" i="6"/>
  <c r="H9" i="6"/>
  <c r="G6" i="6"/>
  <c r="G7" i="6"/>
  <c r="G8" i="6"/>
  <c r="G9" i="6"/>
  <c r="F6" i="6"/>
  <c r="F7" i="6"/>
  <c r="F8" i="6"/>
  <c r="F9" i="6"/>
  <c r="E6" i="6"/>
  <c r="E7" i="6"/>
  <c r="E8" i="6"/>
  <c r="E9" i="6"/>
  <c r="L10" i="3"/>
  <c r="L11" i="3"/>
  <c r="L12" i="3"/>
  <c r="L13" i="3"/>
  <c r="E12" i="1"/>
  <c r="C12" i="1"/>
  <c r="C10" i="1"/>
  <c r="C8" i="1"/>
  <c r="G11" i="4"/>
  <c r="F8" i="5" l="1"/>
  <c r="F3" i="5"/>
  <c r="F4" i="5"/>
  <c r="L10" i="6"/>
  <c r="O10" i="6" s="1"/>
  <c r="F2" i="5"/>
  <c r="M6" i="6"/>
  <c r="N6" i="6" s="1"/>
  <c r="L6" i="6"/>
  <c r="O6" i="6" s="1"/>
  <c r="L9" i="6"/>
  <c r="O9" i="6" s="1"/>
  <c r="L7" i="6"/>
  <c r="O7" i="6" s="1"/>
  <c r="L8" i="6"/>
  <c r="O8" i="6" s="1"/>
  <c r="N10" i="6" l="1"/>
  <c r="N9" i="6"/>
  <c r="N7" i="6"/>
  <c r="N8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3B1D32-8448-4ADF-A66C-E69116C1BFB9}" keepAlive="1" name="ThisWorkbookDataModel" description="Modèle de donnée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5916583B-2FC7-4BAD-8689-7355A1B744BA}" name="WorksheetConnection_Classeur1!lescatégories" type="102" refreshedVersion="6" minRefreshableVersion="5">
    <extLst>
      <ext xmlns:x15="http://schemas.microsoft.com/office/spreadsheetml/2010/11/main" uri="{DE250136-89BD-433C-8126-D09CA5730AF9}">
        <x15:connection id="lescatégories">
          <x15:rangePr sourceName="_xlcn.WorksheetConnection_Classeur1lescatégories1"/>
        </x15:connection>
      </ext>
    </extLst>
  </connection>
  <connection id="3" xr16:uid="{6EED1461-0B3A-4641-BED2-7803E478507F}" name="WorksheetConnection_Classeur1!LesRéférences" type="102" refreshedVersion="6" minRefreshableVersion="5">
    <extLst>
      <ext xmlns:x15="http://schemas.microsoft.com/office/spreadsheetml/2010/11/main" uri="{DE250136-89BD-433C-8126-D09CA5730AF9}">
        <x15:connection id="LesRéférences">
          <x15:rangePr sourceName="_xlcn.WorksheetConnection_Classeur1LesRéférences1"/>
        </x15:connection>
      </ext>
    </extLst>
  </connection>
  <connection id="4" xr16:uid="{01DFDE8C-87E0-4A91-9D20-6D788A803200}" name="WorksheetConnection_Classeur1!ListeAchat" type="102" refreshedVersion="6" minRefreshableVersion="5">
    <extLst>
      <ext xmlns:x15="http://schemas.microsoft.com/office/spreadsheetml/2010/11/main" uri="{DE250136-89BD-433C-8126-D09CA5730AF9}">
        <x15:connection id="ListeAchat" autoDelete="1">
          <x15:rangePr sourceName="_xlcn.WorksheetConnection_Classeur1ListeAchat1"/>
        </x15:connection>
      </ext>
    </extLst>
  </connection>
  <connection id="5" xr16:uid="{486C17AF-70B0-48FD-8630-0053DBA9114E}" name="WorksheetConnection_Classeur1!ListeVente" type="102" refreshedVersion="6" minRefreshableVersion="5">
    <extLst>
      <ext xmlns:x15="http://schemas.microsoft.com/office/spreadsheetml/2010/11/main" uri="{DE250136-89BD-433C-8126-D09CA5730AF9}">
        <x15:connection id="ListeVente" autoDelete="1">
          <x15:rangePr sourceName="_xlcn.WorksheetConnection_Classeur1ListeVente1"/>
        </x15:connection>
      </ext>
    </extLst>
  </connection>
  <connection id="6" xr16:uid="{1DA5114A-5AD4-4197-B0D0-4D12A7E10153}" name="WorksheetConnection_Classeur1(Récupération automatique).xlsm!lesMois" type="102" refreshedVersion="6" minRefreshableVersion="5">
    <extLst>
      <ext xmlns:x15="http://schemas.microsoft.com/office/spreadsheetml/2010/11/main" uri="{DE250136-89BD-433C-8126-D09CA5730AF9}">
        <x15:connection id="lesMois">
          <x15:rangePr sourceName="_xlcn.WorksheetConnection_Classeur1Récupérationautomatique.xlsmlesMois1"/>
        </x15:connection>
      </ext>
    </extLst>
  </connection>
</connections>
</file>

<file path=xl/sharedStrings.xml><?xml version="1.0" encoding="utf-8"?>
<sst xmlns="http://schemas.openxmlformats.org/spreadsheetml/2006/main" count="230" uniqueCount="63">
  <si>
    <t>Référence</t>
  </si>
  <si>
    <t>Désignation</t>
  </si>
  <si>
    <t>Catégorie</t>
  </si>
  <si>
    <t>Unité</t>
  </si>
  <si>
    <t>Date</t>
  </si>
  <si>
    <t>Prix unitaire</t>
  </si>
  <si>
    <t>Quantité</t>
  </si>
  <si>
    <t>Total</t>
  </si>
  <si>
    <t>Numéro</t>
  </si>
  <si>
    <t xml:space="preserve">Désignation </t>
  </si>
  <si>
    <t>Prix d'achat</t>
  </si>
  <si>
    <t>total</t>
  </si>
  <si>
    <t>unité</t>
  </si>
  <si>
    <t>Seuil d'alert</t>
  </si>
  <si>
    <t>stock initial</t>
  </si>
  <si>
    <t>A10</t>
  </si>
  <si>
    <t>telephone A10</t>
  </si>
  <si>
    <t>Smartphone</t>
  </si>
  <si>
    <t>1 pièce</t>
  </si>
  <si>
    <t>Seuil D'alert</t>
  </si>
  <si>
    <t>Stock initial</t>
  </si>
  <si>
    <t>A20</t>
  </si>
  <si>
    <t>Telephone A20</t>
  </si>
  <si>
    <t>1pièce</t>
  </si>
  <si>
    <t>Prix de Vente</t>
  </si>
  <si>
    <t>A30</t>
  </si>
  <si>
    <t>A13</t>
  </si>
  <si>
    <t>Smart</t>
  </si>
  <si>
    <t>A12</t>
  </si>
  <si>
    <t>Étiquettes de lignes</t>
  </si>
  <si>
    <t>Total général</t>
  </si>
  <si>
    <t>Somme de Quantité</t>
  </si>
  <si>
    <t>Jan</t>
  </si>
  <si>
    <t>Feb</t>
  </si>
  <si>
    <t>Mar</t>
  </si>
  <si>
    <t>Somme de total</t>
  </si>
  <si>
    <t>Veuillez saisir les information de chaque marchandise</t>
  </si>
  <si>
    <r>
      <t xml:space="preserve">Nouvelle </t>
    </r>
    <r>
      <rPr>
        <sz val="11"/>
        <color rgb="FF51459E"/>
        <rFont val="Times New Roman"/>
        <family val="1"/>
      </rPr>
      <t>Marchandise</t>
    </r>
  </si>
  <si>
    <t>S8</t>
  </si>
  <si>
    <t>Liste des Marchandises</t>
  </si>
  <si>
    <t>Détail de toutes les transations d'entrée</t>
  </si>
  <si>
    <r>
      <t xml:space="preserve">Liste des </t>
    </r>
    <r>
      <rPr>
        <sz val="11"/>
        <color rgb="FF51459E"/>
        <rFont val="Times New Roman"/>
        <family val="1"/>
      </rPr>
      <t>Entrées</t>
    </r>
  </si>
  <si>
    <r>
      <t xml:space="preserve">Liste des </t>
    </r>
    <r>
      <rPr>
        <sz val="11"/>
        <color rgb="FF51459E"/>
        <rFont val="Times New Roman"/>
        <family val="1"/>
      </rPr>
      <t>Sorties</t>
    </r>
  </si>
  <si>
    <t>Détail de toutes les transations de Sorties</t>
  </si>
  <si>
    <r>
      <rPr>
        <sz val="12"/>
        <rFont val="Times New Roman"/>
        <family val="1"/>
      </rPr>
      <t>Détail</t>
    </r>
    <r>
      <rPr>
        <sz val="12"/>
        <color rgb="FF51459E"/>
        <rFont val="Times New Roman"/>
        <family val="1"/>
      </rPr>
      <t xml:space="preserve"> d'Iventaire</t>
    </r>
  </si>
  <si>
    <t>Entrée</t>
  </si>
  <si>
    <t>Sortie</t>
  </si>
  <si>
    <t>Stock final</t>
  </si>
  <si>
    <t>CUMP</t>
  </si>
  <si>
    <t>Valeur</t>
  </si>
  <si>
    <t>Statu</t>
  </si>
  <si>
    <t>Somme de Stock final</t>
  </si>
  <si>
    <t>Somme de Valeur</t>
  </si>
  <si>
    <t>jan</t>
  </si>
  <si>
    <t>feb</t>
  </si>
  <si>
    <t>mar</t>
  </si>
  <si>
    <t>Somme de total2</t>
  </si>
  <si>
    <t>max</t>
  </si>
  <si>
    <t>A50</t>
  </si>
  <si>
    <t>(Plusieurs éléments)</t>
  </si>
  <si>
    <t>Mois</t>
  </si>
  <si>
    <t>Dernier Mise à jour</t>
  </si>
  <si>
    <t>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</si>
</sst>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GNF]\ #,##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sz val="11"/>
      <name val="Times New Roman"/>
      <family val="1"/>
    </font>
    <font>
      <sz val="11"/>
      <color rgb="FF51459E"/>
      <name val="Times New Roman"/>
      <family val="1"/>
    </font>
    <font>
      <sz val="12"/>
      <color rgb="FF51459E"/>
      <name val="Times New Roman"/>
      <family val="1"/>
    </font>
    <font>
      <sz val="12"/>
      <name val="Times New Roman"/>
      <family val="1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51459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AFAFA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3" borderId="0" xfId="0" applyFill="1"/>
    <xf numFmtId="0" fontId="1" fillId="2" borderId="0" xfId="0" applyFont="1" applyFill="1"/>
    <xf numFmtId="0" fontId="1" fillId="0" borderId="0" xfId="0" applyFont="1"/>
    <xf numFmtId="0" fontId="1" fillId="3" borderId="0" xfId="0" applyFont="1" applyFill="1"/>
    <xf numFmtId="14" fontId="1" fillId="3" borderId="0" xfId="0" applyNumberFormat="1" applyFont="1" applyFill="1"/>
    <xf numFmtId="164" fontId="1" fillId="3" borderId="0" xfId="0" applyNumberFormat="1" applyFont="1" applyFill="1"/>
    <xf numFmtId="0" fontId="2" fillId="2" borderId="0" xfId="0" applyFont="1" applyFill="1"/>
    <xf numFmtId="0" fontId="2" fillId="0" borderId="0" xfId="0" applyFont="1"/>
    <xf numFmtId="0" fontId="2" fillId="3" borderId="0" xfId="0" applyFont="1" applyFill="1"/>
    <xf numFmtId="164" fontId="2" fillId="3" borderId="0" xfId="0" applyNumberFormat="1" applyFont="1" applyFill="1"/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14" fontId="2" fillId="4" borderId="0" xfId="0" applyNumberFormat="1" applyFont="1" applyFill="1" applyAlignment="1">
      <alignment horizontal="center" vertical="center"/>
    </xf>
    <xf numFmtId="164" fontId="2" fillId="4" borderId="0" xfId="0" applyNumberFormat="1" applyFont="1" applyFill="1" applyAlignment="1">
      <alignment horizontal="center" vertical="center"/>
    </xf>
    <xf numFmtId="164" fontId="1" fillId="2" borderId="0" xfId="0" applyNumberFormat="1" applyFont="1" applyFill="1"/>
    <xf numFmtId="164" fontId="1" fillId="0" borderId="0" xfId="0" applyNumberFormat="1" applyFont="1"/>
    <xf numFmtId="0" fontId="3" fillId="0" borderId="0" xfId="0" applyFont="1"/>
    <xf numFmtId="0" fontId="3" fillId="3" borderId="0" xfId="0" applyFont="1" applyFill="1"/>
    <xf numFmtId="164" fontId="3" fillId="3" borderId="0" xfId="0" applyNumberFormat="1" applyFont="1" applyFill="1"/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164" fontId="1" fillId="4" borderId="0" xfId="0" applyNumberFormat="1" applyFont="1" applyFill="1" applyAlignment="1">
      <alignment horizontal="center" vertical="center"/>
    </xf>
    <xf numFmtId="14" fontId="3" fillId="3" borderId="0" xfId="0" applyNumberFormat="1" applyFont="1" applyFill="1"/>
    <xf numFmtId="14" fontId="1" fillId="2" borderId="0" xfId="0" applyNumberFormat="1" applyFont="1" applyFill="1"/>
    <xf numFmtId="14" fontId="1" fillId="0" borderId="0" xfId="0" applyNumberFormat="1" applyFont="1"/>
    <xf numFmtId="0" fontId="0" fillId="4" borderId="0" xfId="0" applyFill="1"/>
    <xf numFmtId="0" fontId="5" fillId="2" borderId="0" xfId="0" applyFont="1" applyFill="1"/>
    <xf numFmtId="0" fontId="2" fillId="4" borderId="0" xfId="0" applyFont="1" applyFill="1"/>
    <xf numFmtId="0" fontId="5" fillId="3" borderId="0" xfId="0" applyFont="1" applyFill="1"/>
    <xf numFmtId="0" fontId="6" fillId="4" borderId="0" xfId="0" applyFont="1" applyFill="1"/>
    <xf numFmtId="0" fontId="6" fillId="3" borderId="0" xfId="0" applyFont="1" applyFill="1"/>
    <xf numFmtId="164" fontId="5" fillId="2" borderId="0" xfId="0" applyNumberFormat="1" applyFont="1" applyFill="1"/>
    <xf numFmtId="164" fontId="5" fillId="3" borderId="0" xfId="0" applyNumberFormat="1" applyFont="1" applyFill="1"/>
    <xf numFmtId="164" fontId="6" fillId="3" borderId="0" xfId="0" applyNumberFormat="1" applyFont="1" applyFill="1"/>
    <xf numFmtId="164" fontId="2" fillId="4" borderId="0" xfId="0" applyNumberFormat="1" applyFont="1" applyFill="1"/>
    <xf numFmtId="0" fontId="2" fillId="3" borderId="0" xfId="0" applyFont="1" applyFill="1" applyBorder="1"/>
    <xf numFmtId="0" fontId="2" fillId="3" borderId="0" xfId="0" applyNumberFormat="1" applyFont="1" applyFill="1"/>
    <xf numFmtId="0" fontId="0" fillId="4" borderId="0" xfId="0" applyFill="1" applyAlignment="1">
      <alignment horizontal="center"/>
    </xf>
    <xf numFmtId="22" fontId="0" fillId="4" borderId="0" xfId="0" applyNumberFormat="1" applyFill="1"/>
    <xf numFmtId="14" fontId="8" fillId="4" borderId="0" xfId="0" applyNumberFormat="1" applyFont="1" applyFill="1"/>
  </cellXfs>
  <cellStyles count="1">
    <cellStyle name="Normal" xfId="0" builtinId="0"/>
  </cellStyles>
  <dxfs count="60">
    <dxf>
      <font>
        <color rgb="FFFFC000"/>
      </font>
    </dxf>
    <dxf>
      <font>
        <color rgb="FFFF0000"/>
      </font>
    </dxf>
    <dxf>
      <font>
        <color rgb="FF00B050"/>
      </font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numFmt numFmtId="164" formatCode="[$GNF]\ #,##0"/>
    </dxf>
    <dxf>
      <numFmt numFmtId="164" formatCode="[$GNF]\ #,##0"/>
    </dxf>
    <dxf>
      <numFmt numFmtId="164" formatCode="[$GNF]\ #,##0"/>
    </dxf>
    <dxf>
      <numFmt numFmtId="164" formatCode="[$GNF]\ #,##0"/>
    </dxf>
    <dxf>
      <numFmt numFmtId="164" formatCode="[$GNF]\ #,##0"/>
    </dxf>
    <dxf>
      <numFmt numFmtId="164" formatCode="[$GNF]\ #,##0"/>
    </dxf>
    <dxf>
      <numFmt numFmtId="164" formatCode="[$GNF]\ #,##0"/>
    </dxf>
    <dxf>
      <numFmt numFmtId="164" formatCode="[$GNF]\ #,##0"/>
    </dxf>
    <dxf>
      <numFmt numFmtId="164" formatCode="[$GNF]\ #,##0"/>
    </dxf>
    <dxf>
      <font>
        <name val="Times New Roman"/>
        <family val="1"/>
        <scheme val="none"/>
      </font>
      <numFmt numFmtId="164" formatCode="[$GNF]\ 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</dxf>
    <dxf>
      <font>
        <name val="Times New Roman"/>
        <family val="1"/>
        <scheme val="none"/>
      </font>
      <numFmt numFmtId="164" formatCode="[$GNF]\ 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</dxf>
    <dxf>
      <font>
        <name val="Times New Roman"/>
        <family val="1"/>
        <scheme val="none"/>
      </font>
      <numFmt numFmtId="19" formatCode="m/d/yyyy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name val="Times New Roman"/>
        <family val="1"/>
        <scheme val="none"/>
      </font>
      <numFmt numFmtId="164" formatCode="[$GNF]\ #,##0"/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name val="Times New Roman"/>
        <family val="1"/>
        <scheme val="none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name val="Times New Roman"/>
        <family val="1"/>
        <scheme val="none"/>
      </font>
      <numFmt numFmtId="164" formatCode="[$GNF]\ #,##0"/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name val="Times New Roman"/>
        <family val="1"/>
        <scheme val="none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name val="Times New Roman"/>
        <family val="1"/>
        <scheme val="none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name val="Times New Roman"/>
        <family val="1"/>
        <scheme val="none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name val="Times New Roman"/>
        <family val="1"/>
        <scheme val="none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name val="Times New Roman"/>
        <family val="1"/>
        <scheme val="none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name val="Times New Roman"/>
        <family val="1"/>
        <scheme val="none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name val="Times New Roman"/>
        <family val="1"/>
        <scheme val="none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GNF]\ 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GNF]\ 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64" formatCode="[$GNF]\ #,##0"/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64" formatCode="[$GNF]\ #,##0"/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fill>
        <patternFill>
          <fgColor indexed="64"/>
          <bgColor theme="0"/>
        </patternFill>
      </fill>
    </dxf>
  </dxfs>
  <tableStyles count="1" defaultTableStyle="TableStyleMedium2" defaultPivotStyle="PivotStyleLight16">
    <tableStyle name="Style2" pivot="0" table="0" count="10" xr9:uid="{86BC254F-EABB-4F8A-B7B9-F0276E55737E}">
      <tableStyleElement type="wholeTable" dxfId="4"/>
      <tableStyleElement type="headerRow" dxfId="3"/>
    </tableStyle>
  </tableStyles>
  <colors>
    <mruColors>
      <color rgb="FF51459E"/>
      <color rgb="FFFAFAFA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none">
              <fgColor auto="1"/>
              <bgColor auto="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none">
              <fgColor indexed="64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none">
              <fgColor indexed="64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none">
              <fgColor indexed="64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none">
              <fgColor indexed="64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tyle2">
        <x14:slicerStyle name="Style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ivotCacheDefinition" Target="pivotCache/pivotCacheDefinition6.xml"/><Relationship Id="rId18" Type="http://schemas.openxmlformats.org/officeDocument/2006/relationships/pivotCacheDefinition" Target="pivotCache/pivotCacheDefinition11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pivotCacheDefinition" Target="pivotCache/pivotCacheDefinition10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9.xml"/><Relationship Id="rId20" Type="http://schemas.openxmlformats.org/officeDocument/2006/relationships/pivotCacheDefinition" Target="pivotCache/pivotCacheDefinition13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8.xml"/><Relationship Id="rId23" Type="http://schemas.microsoft.com/office/2007/relationships/slicerCache" Target="slicerCaches/slicerCache3.xml"/><Relationship Id="rId28" Type="http://schemas.openxmlformats.org/officeDocument/2006/relationships/powerPivotData" Target="model/item.data"/><Relationship Id="rId10" Type="http://schemas.openxmlformats.org/officeDocument/2006/relationships/pivotCacheDefinition" Target="pivotCache/pivotCacheDefinition3.xml"/><Relationship Id="rId19" Type="http://schemas.openxmlformats.org/officeDocument/2006/relationships/pivotCacheDefinition" Target="pivotCache/pivotCacheDefinition1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ivotCacheDefinition" Target="pivotCache/pivotCacheDefinition7.xml"/><Relationship Id="rId22" Type="http://schemas.microsoft.com/office/2007/relationships/slicerCache" Target="slicerCaches/slicerCache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[ExcelGestionStockGitProject.xlsm]Traitement!totalstockcatégorie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6"/>
        <c:spPr>
          <a:solidFill>
            <a:schemeClr val="accent1"/>
          </a:solidFill>
          <a:ln w="19050"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Traitement!$B$34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C29-4F2C-8FDF-439F98A257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C29-4F2C-8FDF-439F98A2576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Traitement!$A$35:$A$37</c:f>
              <c:strCache>
                <c:ptCount val="2"/>
                <c:pt idx="0">
                  <c:v>Smart</c:v>
                </c:pt>
                <c:pt idx="1">
                  <c:v>Smartphone</c:v>
                </c:pt>
              </c:strCache>
            </c:strRef>
          </c:cat>
          <c:val>
            <c:numRef>
              <c:f>Traitement!$B$35:$B$37</c:f>
              <c:numCache>
                <c:formatCode>General</c:formatCode>
                <c:ptCount val="2"/>
                <c:pt idx="0">
                  <c:v>40</c:v>
                </c:pt>
                <c:pt idx="1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C29-4F2C-8FDF-439F98A25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[ExcelGestionStockGitProject.xlsm]Traitement!Valeurstockcatégorie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9047619047619049E-2"/>
              <c:y val="0.304568527918781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Traitement!$B$39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8A9-444F-996D-3DC3554E7DC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8A9-444F-996D-3DC3554E7DC6}"/>
              </c:ext>
            </c:extLst>
          </c:dPt>
          <c:dLbls>
            <c:dLbl>
              <c:idx val="1"/>
              <c:layout>
                <c:manualLayout>
                  <c:x val="1.9047619047619049E-2"/>
                  <c:y val="0.30456852791878175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8A9-444F-996D-3DC3554E7D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Traitement!$A$40:$A$42</c:f>
              <c:strCache>
                <c:ptCount val="2"/>
                <c:pt idx="0">
                  <c:v>Smart</c:v>
                </c:pt>
                <c:pt idx="1">
                  <c:v>Smartphone</c:v>
                </c:pt>
              </c:strCache>
            </c:strRef>
          </c:cat>
          <c:val>
            <c:numRef>
              <c:f>Traitement!$B$40:$B$42</c:f>
              <c:numCache>
                <c:formatCode>[$GNF]\ #,##0</c:formatCode>
                <c:ptCount val="2"/>
                <c:pt idx="0">
                  <c:v>44800000</c:v>
                </c:pt>
                <c:pt idx="1">
                  <c:v>37350000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A9-444F-996D-3DC3554E7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[ExcelGestionStockGitProject.xlsm]Traitement!entrérCatégorie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Traitement!$B$44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0F4-4877-9BBA-2654787151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0F4-4877-9BBA-2654787151E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Traitement!$A$45:$A$47</c:f>
              <c:strCache>
                <c:ptCount val="2"/>
                <c:pt idx="0">
                  <c:v>Smart</c:v>
                </c:pt>
                <c:pt idx="1">
                  <c:v>Smartphone</c:v>
                </c:pt>
              </c:strCache>
            </c:strRef>
          </c:cat>
          <c:val>
            <c:numRef>
              <c:f>Traitement!$B$45:$B$47</c:f>
              <c:numCache>
                <c:formatCode>General</c:formatCode>
                <c:ptCount val="2"/>
                <c:pt idx="0">
                  <c:v>19</c:v>
                </c:pt>
                <c:pt idx="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F4-4877-9BBA-2654787151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[ExcelGestionStockGitProject.xlsm]Traitement!Valeurentréecatégorie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Traitement!$B$49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B64-4280-B31D-AA93B9C1A0E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B64-4280-B31D-AA93B9C1A0E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Traitement!$A$50:$A$52</c:f>
              <c:strCache>
                <c:ptCount val="2"/>
                <c:pt idx="0">
                  <c:v>Smart</c:v>
                </c:pt>
                <c:pt idx="1">
                  <c:v>Smartphone</c:v>
                </c:pt>
              </c:strCache>
            </c:strRef>
          </c:cat>
          <c:val>
            <c:numRef>
              <c:f>Traitement!$B$50:$B$52</c:f>
              <c:numCache>
                <c:formatCode>[$GNF]\ #,##0</c:formatCode>
                <c:ptCount val="2"/>
                <c:pt idx="0">
                  <c:v>20650000</c:v>
                </c:pt>
                <c:pt idx="1">
                  <c:v>17500000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B64-4280-B31D-AA93B9C1A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[ExcelGestionStockGitProject.xlsm]Traitement!SortieCatégorie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Traitement!$B$54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6EC-4FA0-9E47-70D1C3C9750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6EC-4FA0-9E47-70D1C3C9750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Traitement!$A$55:$A$57</c:f>
              <c:strCache>
                <c:ptCount val="2"/>
                <c:pt idx="0">
                  <c:v>Smart</c:v>
                </c:pt>
                <c:pt idx="1">
                  <c:v>Smartphone</c:v>
                </c:pt>
              </c:strCache>
            </c:strRef>
          </c:cat>
          <c:val>
            <c:numRef>
              <c:f>Traitement!$B$55:$B$57</c:f>
              <c:numCache>
                <c:formatCode>General</c:formatCode>
                <c:ptCount val="2"/>
                <c:pt idx="0">
                  <c:v>15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EC-4FA0-9E47-70D1C3C97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[ExcelGestionStockGitProject.xlsm]Traitement!ValeurSortiecatégorie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Traitement!$B$59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3C0-4331-BCC1-111D81B947B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3C0-4331-BCC1-111D81B947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Traitement!$A$60:$A$62</c:f>
              <c:strCache>
                <c:ptCount val="2"/>
                <c:pt idx="0">
                  <c:v>Smart</c:v>
                </c:pt>
                <c:pt idx="1">
                  <c:v>Smartphone</c:v>
                </c:pt>
              </c:strCache>
            </c:strRef>
          </c:cat>
          <c:val>
            <c:numRef>
              <c:f>Traitement!$B$60:$B$62</c:f>
              <c:numCache>
                <c:formatCode>[$GNF]\ #,##0</c:formatCode>
                <c:ptCount val="2"/>
                <c:pt idx="0">
                  <c:v>20400000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C0-4331-BCC1-111D81B94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94C-4E43-A7A3-A3433878D085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4C-4E43-A7A3-A3433878D08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Traitement!$D$2:$D$4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Traitement!$E$2:$E$4</c:f>
              <c:numCache>
                <c:formatCode>General</c:formatCode>
                <c:ptCount val="3"/>
                <c:pt idx="0">
                  <c:v>20</c:v>
                </c:pt>
                <c:pt idx="1">
                  <c:v>10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4C-4E43-A7A3-A3433878D085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Traitement!$D$2:$D$4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Traitement!$F$2:$F$4</c:f>
              <c:numCache>
                <c:formatCode>General</c:formatCode>
                <c:ptCount val="3"/>
                <c:pt idx="0">
                  <c:v>20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4C-4E43-A7A3-A3433878D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63699856"/>
        <c:axId val="654492040"/>
      </c:barChart>
      <c:catAx>
        <c:axId val="663699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492040"/>
        <c:crosses val="autoZero"/>
        <c:auto val="1"/>
        <c:lblAlgn val="ctr"/>
        <c:lblOffset val="100"/>
        <c:noMultiLvlLbl val="0"/>
      </c:catAx>
      <c:valAx>
        <c:axId val="654492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9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F2C-4D0D-A81D-CB33D52F590E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F2C-4D0D-A81D-CB33D52F590E}"/>
              </c:ext>
            </c:extLst>
          </c:dPt>
          <c:cat>
            <c:strRef>
              <c:f>Traitement!$D$8:$D$10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Traitement!$E$8:$E$10</c:f>
              <c:numCache>
                <c:formatCode>General</c:formatCode>
                <c:ptCount val="3"/>
                <c:pt idx="0">
                  <c:v>10</c:v>
                </c:pt>
                <c:pt idx="1">
                  <c:v>8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2C-4D0D-A81D-CB33D52F590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Traitement!$D$8:$D$10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Traitement!$F$8:$F$10</c:f>
              <c:numCache>
                <c:formatCode>General</c:formatCode>
                <c:ptCount val="3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2C-4D0D-A81D-CB33D52F5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390517352"/>
        <c:axId val="390517680"/>
      </c:barChart>
      <c:catAx>
        <c:axId val="390517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517680"/>
        <c:crosses val="autoZero"/>
        <c:auto val="1"/>
        <c:lblAlgn val="ctr"/>
        <c:lblOffset val="100"/>
        <c:noMultiLvlLbl val="0"/>
      </c:catAx>
      <c:valAx>
        <c:axId val="39051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517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[ExcelGestionStockGitProject.xlsm]Traitement!valeurentréeparmois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gradFill flip="none" rotWithShape="1">
              <a:gsLst>
                <a:gs pos="6300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0">
                  <a:schemeClr val="accent1">
                    <a:lumMod val="30000"/>
                    <a:lumOff val="70000"/>
                  </a:schemeClr>
                </a:gs>
              </a:gsLst>
              <a:path path="circle">
                <a:fillToRect l="100000" t="100000"/>
              </a:path>
              <a:tileRect r="-100000" b="-100000"/>
            </a:gradFill>
          </a:ln>
          <a:effectLst>
            <a:outerShdw blurRad="50800" dist="50800" dir="5400000" algn="ctr" rotWithShape="0">
              <a:schemeClr val="bg1">
                <a:lumMod val="95000"/>
              </a:scheme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gradFill flip="none" rotWithShape="1">
              <a:gsLst>
                <a:gs pos="6300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0">
                  <a:schemeClr val="accent1">
                    <a:lumMod val="30000"/>
                    <a:lumOff val="70000"/>
                  </a:schemeClr>
                </a:gs>
              </a:gsLst>
              <a:path path="circle">
                <a:fillToRect l="100000" t="100000"/>
              </a:path>
              <a:tileRect r="-100000" b="-100000"/>
            </a:gradFill>
          </a:ln>
          <a:effectLst>
            <a:outerShdw blurRad="50800" dist="50800" dir="5400000" algn="ctr" rotWithShape="0">
              <a:schemeClr val="bg1">
                <a:lumMod val="95000"/>
              </a:scheme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gradFill flip="none" rotWithShape="1">
              <a:gsLst>
                <a:gs pos="6300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0">
                  <a:schemeClr val="accent1">
                    <a:lumMod val="30000"/>
                    <a:lumOff val="70000"/>
                  </a:schemeClr>
                </a:gs>
              </a:gsLst>
              <a:path path="circle">
                <a:fillToRect l="100000" t="100000"/>
              </a:path>
              <a:tileRect r="-100000" b="-100000"/>
            </a:gradFill>
          </a:ln>
          <a:effectLst>
            <a:outerShdw blurRad="50800" dist="50800" dir="5400000" algn="ctr" rotWithShape="0">
              <a:schemeClr val="bg1">
                <a:lumMod val="95000"/>
              </a:scheme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Traitement!$B$13</c:f>
              <c:strCache>
                <c:ptCount val="1"/>
                <c:pt idx="0">
                  <c:v>Somme de total</c:v>
                </c:pt>
              </c:strCache>
            </c:strRef>
          </c:tx>
          <c:spPr>
            <a:solidFill>
              <a:schemeClr val="accent1"/>
            </a:solidFill>
            <a:ln>
              <a:gradFill flip="none" rotWithShape="1">
                <a:gsLst>
                  <a:gs pos="6300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0">
                    <a:schemeClr val="accent1">
                      <a:lumMod val="30000"/>
                      <a:lumOff val="70000"/>
                    </a:schemeClr>
                  </a:gs>
                </a:gsLst>
                <a:path path="circle">
                  <a:fillToRect l="100000" t="100000"/>
                </a:path>
                <a:tileRect r="-100000" b="-100000"/>
              </a:gradFill>
            </a:ln>
            <a:effectLst>
              <a:outerShdw blurRad="50800" dist="50800" dir="5400000" algn="ctr" rotWithShape="0">
                <a:schemeClr val="bg1">
                  <a:lumMod val="95000"/>
                </a:schemeClr>
              </a:outerShdw>
            </a:effectLst>
          </c:spP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Traitement!$A$14:$A$17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Traitement!$B$14:$B$17</c:f>
              <c:numCache>
                <c:formatCode>[$GNF]\ #,##0</c:formatCode>
                <c:ptCount val="3"/>
                <c:pt idx="0">
                  <c:v>17500000</c:v>
                </c:pt>
                <c:pt idx="1">
                  <c:v>13000000</c:v>
                </c:pt>
                <c:pt idx="2">
                  <c:v>7650000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02-4979-968B-51A5613FFC67}"/>
            </c:ext>
          </c:extLst>
        </c:ser>
        <c:ser>
          <c:idx val="1"/>
          <c:order val="1"/>
          <c:tx>
            <c:strRef>
              <c:f>Traitement!$C$13</c:f>
              <c:strCache>
                <c:ptCount val="1"/>
                <c:pt idx="0">
                  <c:v>Somme de total2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Traitement!$A$14:$A$17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Traitement!$C$14:$C$17</c:f>
              <c:numCache>
                <c:formatCode>[$GNF]\ #,##0</c:formatCode>
                <c:ptCount val="3"/>
                <c:pt idx="0">
                  <c:v>17500000</c:v>
                </c:pt>
                <c:pt idx="1">
                  <c:v>13000000</c:v>
                </c:pt>
                <c:pt idx="2">
                  <c:v>7650000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02-4979-968B-51A5613FF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944256"/>
        <c:axId val="362940976"/>
      </c:areaChart>
      <c:catAx>
        <c:axId val="36294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940976"/>
        <c:crosses val="autoZero"/>
        <c:auto val="1"/>
        <c:lblAlgn val="ctr"/>
        <c:lblOffset val="100"/>
        <c:noMultiLvlLbl val="0"/>
      </c:catAx>
      <c:valAx>
        <c:axId val="36294097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GNF]\ #,##0" sourceLinked="1"/>
        <c:majorTickMark val="none"/>
        <c:minorTickMark val="none"/>
        <c:tickLblPos val="nextTo"/>
        <c:crossAx val="362944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[ExcelGestionStockGitProject.xlsm]Traitement!Valeursortieparmois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3.4275921165381196E-2"/>
              <c:y val="-0.327746741154562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0.4096834264432029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7.1979434447300789E-2"/>
              <c:y val="-0.3351955307262569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Traitement!$B$19</c:f>
              <c:strCache>
                <c:ptCount val="1"/>
                <c:pt idx="0">
                  <c:v>Somme de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Lbls>
            <c:dLbl>
              <c:idx val="0"/>
              <c:layout>
                <c:manualLayout>
                  <c:x val="-7.1979434447300789E-2"/>
                  <c:y val="-0.3351955307262569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0.4096834264432029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3.4275921165381196E-2"/>
                  <c:y val="-0.3277467411545623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Traitement!$A$20:$A$23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Traitement!$B$20:$B$23</c:f>
              <c:numCache>
                <c:formatCode>[$GNF]\ #,##0</c:formatCode>
                <c:ptCount val="3"/>
                <c:pt idx="0">
                  <c:v>10000000</c:v>
                </c:pt>
                <c:pt idx="1">
                  <c:v>12000000</c:v>
                </c:pt>
                <c:pt idx="2">
                  <c:v>8400000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CB-43CA-A446-3A8B7A7F8BBF}"/>
            </c:ext>
          </c:extLst>
        </c:ser>
        <c:ser>
          <c:idx val="1"/>
          <c:order val="1"/>
          <c:tx>
            <c:strRef>
              <c:f>Traitement!$C$19</c:f>
              <c:strCache>
                <c:ptCount val="1"/>
                <c:pt idx="0">
                  <c:v>Somme de total2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strRef>
              <c:f>Traitement!$A$20:$A$23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Traitement!$C$20:$C$23</c:f>
              <c:numCache>
                <c:formatCode>[$GNF]\ #,##0</c:formatCode>
                <c:ptCount val="3"/>
                <c:pt idx="0">
                  <c:v>10000000</c:v>
                </c:pt>
                <c:pt idx="1">
                  <c:v>12000000</c:v>
                </c:pt>
                <c:pt idx="2">
                  <c:v>8400000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CB-43CA-A446-3A8B7A7F8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7531728"/>
        <c:axId val="657532056"/>
      </c:areaChart>
      <c:catAx>
        <c:axId val="657531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532056"/>
        <c:crosses val="autoZero"/>
        <c:auto val="1"/>
        <c:lblAlgn val="ctr"/>
        <c:lblOffset val="100"/>
        <c:noMultiLvlLbl val="0"/>
      </c:catAx>
      <c:valAx>
        <c:axId val="65753205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GNF]\ #,##0" sourceLinked="1"/>
        <c:majorTickMark val="none"/>
        <c:minorTickMark val="none"/>
        <c:tickLblPos val="nextTo"/>
        <c:crossAx val="65753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[ExcelGestionStockGitProject.xlsm]Traitement!top3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0.17836689274885231"/>
              <c:y val="-1.60394808393296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099413219586417"/>
                  <c:h val="0.17476820213919775"/>
                </c:manualLayout>
              </c15:layout>
            </c:ext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831045611617432"/>
                  <c:h val="0.21549090385237413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1740908589695132"/>
                  <c:h val="0.21549090385237413"/>
                </c:manualLayout>
              </c15:layout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Traitement!$B$64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1243-4491-92AB-BE0E574DC679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1243-4491-92AB-BE0E574DC679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243-4491-92AB-BE0E574DC679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740908589695132"/>
                      <c:h val="0.2154909038523741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243-4491-92AB-BE0E574DC679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831045611617432"/>
                      <c:h val="0.2154909038523741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243-4491-92AB-BE0E574DC679}"/>
                </c:ext>
              </c:extLst>
            </c:dLbl>
            <c:dLbl>
              <c:idx val="2"/>
              <c:layout>
                <c:manualLayout>
                  <c:x val="-0.17836689274885231"/>
                  <c:y val="-1.603948083932964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099413219586417"/>
                      <c:h val="0.1747682021391977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243-4491-92AB-BE0E574DC6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Traitement!$A$65:$A$68</c:f>
              <c:strCache>
                <c:ptCount val="3"/>
                <c:pt idx="0">
                  <c:v>telephone A10</c:v>
                </c:pt>
                <c:pt idx="1">
                  <c:v>A12</c:v>
                </c:pt>
                <c:pt idx="2">
                  <c:v>A13</c:v>
                </c:pt>
              </c:strCache>
            </c:strRef>
          </c:cat>
          <c:val>
            <c:numRef>
              <c:f>Traitement!$B$65:$B$68</c:f>
              <c:numCache>
                <c:formatCode>[$GNF]\ #,##0</c:formatCode>
                <c:ptCount val="3"/>
                <c:pt idx="0">
                  <c:v>5000000</c:v>
                </c:pt>
                <c:pt idx="1">
                  <c:v>8400000</c:v>
                </c:pt>
                <c:pt idx="2">
                  <c:v>12000000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43-4491-92AB-BE0E574DC67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652596472"/>
        <c:axId val="652602376"/>
      </c:barChart>
      <c:catAx>
        <c:axId val="6525964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51459E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52602376"/>
        <c:crosses val="autoZero"/>
        <c:auto val="1"/>
        <c:lblAlgn val="ctr"/>
        <c:lblOffset val="100"/>
        <c:noMultiLvlLbl val="0"/>
      </c:catAx>
      <c:valAx>
        <c:axId val="65260237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GNF]\ #,##0" sourceLinked="1"/>
        <c:majorTickMark val="none"/>
        <c:minorTickMark val="none"/>
        <c:tickLblPos val="nextTo"/>
        <c:crossAx val="652596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[ExcelGestionStockGitProject.xlsm]Traitement!totalstockcatégorie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Traitement!$B$34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7EB-4D99-A475-4125D8C286A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7EB-4D99-A475-4125D8C286AF}"/>
              </c:ext>
            </c:extLst>
          </c:dPt>
          <c:cat>
            <c:strRef>
              <c:f>Traitement!$A$35:$A$37</c:f>
              <c:strCache>
                <c:ptCount val="2"/>
                <c:pt idx="0">
                  <c:v>Smart</c:v>
                </c:pt>
                <c:pt idx="1">
                  <c:v>Smartphone</c:v>
                </c:pt>
              </c:strCache>
            </c:strRef>
          </c:cat>
          <c:val>
            <c:numRef>
              <c:f>Traitement!$B$35:$B$37</c:f>
              <c:numCache>
                <c:formatCode>General</c:formatCode>
                <c:ptCount val="2"/>
                <c:pt idx="0">
                  <c:v>40</c:v>
                </c:pt>
                <c:pt idx="1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96-45C1-AA50-D4B6431CF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[ExcelGestionStockGitProject.xlsm]Traitement!Valeurstockcatégorie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Traitement!$B$39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75D-4DC3-B3E6-9FD1BA57ED4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75D-4DC3-B3E6-9FD1BA57ED42}"/>
              </c:ext>
            </c:extLst>
          </c:dPt>
          <c:cat>
            <c:strRef>
              <c:f>Traitement!$A$40:$A$42</c:f>
              <c:strCache>
                <c:ptCount val="2"/>
                <c:pt idx="0">
                  <c:v>Smart</c:v>
                </c:pt>
                <c:pt idx="1">
                  <c:v>Smartphone</c:v>
                </c:pt>
              </c:strCache>
            </c:strRef>
          </c:cat>
          <c:val>
            <c:numRef>
              <c:f>Traitement!$B$40:$B$42</c:f>
              <c:numCache>
                <c:formatCode>[$GNF]\ #,##0</c:formatCode>
                <c:ptCount val="2"/>
                <c:pt idx="0">
                  <c:v>44800000</c:v>
                </c:pt>
                <c:pt idx="1">
                  <c:v>37350000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EC-4F76-8B92-D2464C75D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[ExcelGestionStockGitProject.xlsm]Traitement!entrérCatégorie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Traitement!$B$44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D47-435F-9D05-59BA3C76FE7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D47-435F-9D05-59BA3C76FE7D}"/>
              </c:ext>
            </c:extLst>
          </c:dPt>
          <c:cat>
            <c:strRef>
              <c:f>Traitement!$A$45:$A$47</c:f>
              <c:strCache>
                <c:ptCount val="2"/>
                <c:pt idx="0">
                  <c:v>Smart</c:v>
                </c:pt>
                <c:pt idx="1">
                  <c:v>Smartphone</c:v>
                </c:pt>
              </c:strCache>
            </c:strRef>
          </c:cat>
          <c:val>
            <c:numRef>
              <c:f>Traitement!$B$45:$B$47</c:f>
              <c:numCache>
                <c:formatCode>General</c:formatCode>
                <c:ptCount val="2"/>
                <c:pt idx="0">
                  <c:v>19</c:v>
                </c:pt>
                <c:pt idx="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D2-461F-97B7-282FC4D99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[ExcelGestionStockGitProject.xlsm]Traitement!Valeurentréecatégorie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Traitement!$B$49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B20-4B99-AF04-34236DFABC0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B20-4B99-AF04-34236DFABC0C}"/>
              </c:ext>
            </c:extLst>
          </c:dPt>
          <c:cat>
            <c:strRef>
              <c:f>Traitement!$A$50:$A$52</c:f>
              <c:strCache>
                <c:ptCount val="2"/>
                <c:pt idx="0">
                  <c:v>Smart</c:v>
                </c:pt>
                <c:pt idx="1">
                  <c:v>Smartphone</c:v>
                </c:pt>
              </c:strCache>
            </c:strRef>
          </c:cat>
          <c:val>
            <c:numRef>
              <c:f>Traitement!$B$50:$B$52</c:f>
              <c:numCache>
                <c:formatCode>[$GNF]\ #,##0</c:formatCode>
                <c:ptCount val="2"/>
                <c:pt idx="0">
                  <c:v>20650000</c:v>
                </c:pt>
                <c:pt idx="1">
                  <c:v>17500000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9D-47F8-A21A-0CD72EC57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[ExcelGestionStockGitProject.xlsm]Traitement!SortieCatégorie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Traitement!$B$54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A2-450C-BB27-77990F9BF9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A2-450C-BB27-77990F9BF9B8}"/>
              </c:ext>
            </c:extLst>
          </c:dPt>
          <c:cat>
            <c:strRef>
              <c:f>Traitement!$A$55:$A$57</c:f>
              <c:strCache>
                <c:ptCount val="2"/>
                <c:pt idx="0">
                  <c:v>Smart</c:v>
                </c:pt>
                <c:pt idx="1">
                  <c:v>Smartphone</c:v>
                </c:pt>
              </c:strCache>
            </c:strRef>
          </c:cat>
          <c:val>
            <c:numRef>
              <c:f>Traitement!$B$55:$B$57</c:f>
              <c:numCache>
                <c:formatCode>General</c:formatCode>
                <c:ptCount val="2"/>
                <c:pt idx="0">
                  <c:v>15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7D-4AB6-BC46-F00EAE53E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[ExcelGestionStockGitProject.xlsm]Traitement!ValeurSortiecatégorie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Traitement!$B$59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8E9-46A2-9D14-3824E42BD9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8E9-46A2-9D14-3824E42BD97F}"/>
              </c:ext>
            </c:extLst>
          </c:dPt>
          <c:cat>
            <c:strRef>
              <c:f>Traitement!$A$60:$A$62</c:f>
              <c:strCache>
                <c:ptCount val="2"/>
                <c:pt idx="0">
                  <c:v>Smart</c:v>
                </c:pt>
                <c:pt idx="1">
                  <c:v>Smartphone</c:v>
                </c:pt>
              </c:strCache>
            </c:strRef>
          </c:cat>
          <c:val>
            <c:numRef>
              <c:f>Traitement!$B$60:$B$62</c:f>
              <c:numCache>
                <c:formatCode>[$GNF]\ #,##0</c:formatCode>
                <c:ptCount val="2"/>
                <c:pt idx="0">
                  <c:v>20400000</c:v>
                </c:pt>
                <c:pt idx="1">
                  <c:v>10000000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E6-470C-B7B4-C8E4E370A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Traitement!$D$2:$D$4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Traitement!$E$2:$E$4</c:f>
              <c:numCache>
                <c:formatCode>General</c:formatCode>
                <c:ptCount val="3"/>
                <c:pt idx="0">
                  <c:v>20</c:v>
                </c:pt>
                <c:pt idx="1">
                  <c:v>10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73-4BBC-85BC-EFEC78437EB4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Traitement!$D$2:$D$4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Traitement!$F$2:$F$4</c:f>
              <c:numCache>
                <c:formatCode>General</c:formatCode>
                <c:ptCount val="3"/>
                <c:pt idx="0">
                  <c:v>20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73-4BBC-85BC-EFEC78437E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3699856"/>
        <c:axId val="654492040"/>
      </c:barChart>
      <c:catAx>
        <c:axId val="663699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492040"/>
        <c:crosses val="autoZero"/>
        <c:auto val="1"/>
        <c:lblAlgn val="ctr"/>
        <c:lblOffset val="100"/>
        <c:noMultiLvlLbl val="0"/>
      </c:catAx>
      <c:valAx>
        <c:axId val="654492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9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Traitement!$D$8:$D$10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Traitement!$E$8:$E$10</c:f>
              <c:numCache>
                <c:formatCode>General</c:formatCode>
                <c:ptCount val="3"/>
                <c:pt idx="0">
                  <c:v>10</c:v>
                </c:pt>
                <c:pt idx="1">
                  <c:v>8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C9-4451-9040-F5EFB350F544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Traitement!$D$8:$D$10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Traitement!$F$8:$F$10</c:f>
              <c:numCache>
                <c:formatCode>General</c:formatCode>
                <c:ptCount val="3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C9-4451-9040-F5EFB350F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390517352"/>
        <c:axId val="390517680"/>
      </c:barChart>
      <c:catAx>
        <c:axId val="390517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517680"/>
        <c:crosses val="autoZero"/>
        <c:auto val="1"/>
        <c:lblAlgn val="ctr"/>
        <c:lblOffset val="100"/>
        <c:noMultiLvlLbl val="0"/>
      </c:catAx>
      <c:valAx>
        <c:axId val="39051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517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[ExcelGestionStockGitProject.xlsm]Traitement!valeurentréeparmois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gradFill flip="none" rotWithShape="1">
              <a:gsLst>
                <a:gs pos="6300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0">
                  <a:schemeClr val="accent1">
                    <a:lumMod val="30000"/>
                    <a:lumOff val="70000"/>
                  </a:schemeClr>
                </a:gs>
              </a:gsLst>
              <a:path path="circle">
                <a:fillToRect l="100000" t="100000"/>
              </a:path>
              <a:tileRect r="-100000" b="-100000"/>
            </a:gradFill>
          </a:ln>
          <a:effectLst>
            <a:outerShdw blurRad="50800" dist="50800" dir="5400000" algn="ctr" rotWithShape="0">
              <a:schemeClr val="bg1">
                <a:lumMod val="95000"/>
              </a:scheme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Traitement!$B$13</c:f>
              <c:strCache>
                <c:ptCount val="1"/>
                <c:pt idx="0">
                  <c:v>Somme de total</c:v>
                </c:pt>
              </c:strCache>
            </c:strRef>
          </c:tx>
          <c:spPr>
            <a:solidFill>
              <a:schemeClr val="accent1"/>
            </a:solidFill>
            <a:ln>
              <a:gradFill flip="none" rotWithShape="1">
                <a:gsLst>
                  <a:gs pos="6300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0">
                    <a:schemeClr val="accent1">
                      <a:lumMod val="30000"/>
                      <a:lumOff val="70000"/>
                    </a:schemeClr>
                  </a:gs>
                </a:gsLst>
                <a:path path="circle">
                  <a:fillToRect l="100000" t="100000"/>
                </a:path>
                <a:tileRect r="-100000" b="-100000"/>
              </a:gradFill>
            </a:ln>
            <a:effectLst>
              <a:outerShdw blurRad="50800" dist="50800" dir="5400000" algn="ctr" rotWithShape="0">
                <a:schemeClr val="bg1">
                  <a:lumMod val="95000"/>
                </a:schemeClr>
              </a:outerShdw>
            </a:effectLst>
          </c:spPr>
          <c:cat>
            <c:strRef>
              <c:f>Traitement!$A$14:$A$17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Traitement!$B$14:$B$17</c:f>
              <c:numCache>
                <c:formatCode>[$GNF]\ #,##0</c:formatCode>
                <c:ptCount val="3"/>
                <c:pt idx="0">
                  <c:v>17500000</c:v>
                </c:pt>
                <c:pt idx="1">
                  <c:v>13000000</c:v>
                </c:pt>
                <c:pt idx="2">
                  <c:v>7650000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C5-4DAD-89E3-62F6B0673603}"/>
            </c:ext>
          </c:extLst>
        </c:ser>
        <c:ser>
          <c:idx val="1"/>
          <c:order val="1"/>
          <c:tx>
            <c:strRef>
              <c:f>Traitement!$C$13</c:f>
              <c:strCache>
                <c:ptCount val="1"/>
                <c:pt idx="0">
                  <c:v>Somme de total2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Traitement!$A$14:$A$17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Traitement!$C$14:$C$17</c:f>
              <c:numCache>
                <c:formatCode>[$GNF]\ #,##0</c:formatCode>
                <c:ptCount val="3"/>
                <c:pt idx="0">
                  <c:v>17500000</c:v>
                </c:pt>
                <c:pt idx="1">
                  <c:v>13000000</c:v>
                </c:pt>
                <c:pt idx="2">
                  <c:v>7650000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C5-4DAD-89E3-62F6B0673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944256"/>
        <c:axId val="362940976"/>
      </c:areaChart>
      <c:catAx>
        <c:axId val="36294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940976"/>
        <c:crosses val="autoZero"/>
        <c:auto val="1"/>
        <c:lblAlgn val="ctr"/>
        <c:lblOffset val="100"/>
        <c:noMultiLvlLbl val="0"/>
      </c:catAx>
      <c:valAx>
        <c:axId val="36294097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GNF]\ #,##0" sourceLinked="1"/>
        <c:majorTickMark val="none"/>
        <c:minorTickMark val="none"/>
        <c:tickLblPos val="nextTo"/>
        <c:crossAx val="362944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[ExcelGestionStockGitProject.xlsm]Traitement!Valeursortieparmois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Traitement!$B$19</c:f>
              <c:strCache>
                <c:ptCount val="1"/>
                <c:pt idx="0">
                  <c:v>Somme de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Traitement!$A$20:$A$23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Traitement!$B$20:$B$23</c:f>
              <c:numCache>
                <c:formatCode>[$GNF]\ #,##0</c:formatCode>
                <c:ptCount val="3"/>
                <c:pt idx="0">
                  <c:v>10000000</c:v>
                </c:pt>
                <c:pt idx="1">
                  <c:v>12000000</c:v>
                </c:pt>
                <c:pt idx="2">
                  <c:v>8400000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B1-426B-A81D-50216AF7A2CE}"/>
            </c:ext>
          </c:extLst>
        </c:ser>
        <c:ser>
          <c:idx val="1"/>
          <c:order val="1"/>
          <c:tx>
            <c:strRef>
              <c:f>Traitement!$C$19</c:f>
              <c:strCache>
                <c:ptCount val="1"/>
                <c:pt idx="0">
                  <c:v>Somme de total2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strRef>
              <c:f>Traitement!$A$20:$A$23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Traitement!$C$20:$C$23</c:f>
              <c:numCache>
                <c:formatCode>[$GNF]\ #,##0</c:formatCode>
                <c:ptCount val="3"/>
                <c:pt idx="0">
                  <c:v>10000000</c:v>
                </c:pt>
                <c:pt idx="1">
                  <c:v>12000000</c:v>
                </c:pt>
                <c:pt idx="2">
                  <c:v>8400000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B1-426B-A81D-50216AF7A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7531728"/>
        <c:axId val="657532056"/>
      </c:areaChart>
      <c:catAx>
        <c:axId val="657531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532056"/>
        <c:crosses val="autoZero"/>
        <c:auto val="1"/>
        <c:lblAlgn val="ctr"/>
        <c:lblOffset val="100"/>
        <c:noMultiLvlLbl val="0"/>
      </c:catAx>
      <c:valAx>
        <c:axId val="65753205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GNF]\ #,##0" sourceLinked="1"/>
        <c:majorTickMark val="none"/>
        <c:minorTickMark val="none"/>
        <c:tickLblPos val="nextTo"/>
        <c:crossAx val="65753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[ExcelGestionStockGitProject.xlsm]Traitement!top3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Traitement!$B$64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Traitement!$A$65:$A$68</c:f>
              <c:strCache>
                <c:ptCount val="3"/>
                <c:pt idx="0">
                  <c:v>telephone A10</c:v>
                </c:pt>
                <c:pt idx="1">
                  <c:v>A12</c:v>
                </c:pt>
                <c:pt idx="2">
                  <c:v>A13</c:v>
                </c:pt>
              </c:strCache>
            </c:strRef>
          </c:cat>
          <c:val>
            <c:numRef>
              <c:f>Traitement!$B$65:$B$68</c:f>
              <c:numCache>
                <c:formatCode>[$GNF]\ #,##0</c:formatCode>
                <c:ptCount val="3"/>
                <c:pt idx="0">
                  <c:v>5000000</c:v>
                </c:pt>
                <c:pt idx="1">
                  <c:v>8400000</c:v>
                </c:pt>
                <c:pt idx="2">
                  <c:v>12000000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C0-4DD7-806B-08B47BA11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52596472"/>
        <c:axId val="652602376"/>
      </c:barChart>
      <c:catAx>
        <c:axId val="6525964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602376"/>
        <c:crosses val="autoZero"/>
        <c:auto val="1"/>
        <c:lblAlgn val="ctr"/>
        <c:lblOffset val="100"/>
        <c:noMultiLvlLbl val="0"/>
      </c:catAx>
      <c:valAx>
        <c:axId val="652602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GNF]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596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13" Type="http://schemas.openxmlformats.org/officeDocument/2006/relationships/chart" Target="../charts/chart7.xml"/><Relationship Id="rId18" Type="http://schemas.openxmlformats.org/officeDocument/2006/relationships/image" Target="../media/image7.png"/><Relationship Id="rId3" Type="http://schemas.openxmlformats.org/officeDocument/2006/relationships/image" Target="../media/image3.png"/><Relationship Id="rId21" Type="http://schemas.openxmlformats.org/officeDocument/2006/relationships/image" Target="../media/image10.png"/><Relationship Id="rId7" Type="http://schemas.openxmlformats.org/officeDocument/2006/relationships/chart" Target="../charts/chart1.xml"/><Relationship Id="rId12" Type="http://schemas.openxmlformats.org/officeDocument/2006/relationships/chart" Target="../charts/chart6.xml"/><Relationship Id="rId17" Type="http://schemas.openxmlformats.org/officeDocument/2006/relationships/chart" Target="../charts/chart11.xml"/><Relationship Id="rId2" Type="http://schemas.openxmlformats.org/officeDocument/2006/relationships/image" Target="../media/image2.png"/><Relationship Id="rId16" Type="http://schemas.openxmlformats.org/officeDocument/2006/relationships/chart" Target="../charts/chart10.xml"/><Relationship Id="rId20" Type="http://schemas.openxmlformats.org/officeDocument/2006/relationships/image" Target="../media/image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5.xml"/><Relationship Id="rId5" Type="http://schemas.openxmlformats.org/officeDocument/2006/relationships/image" Target="../media/image5.png"/><Relationship Id="rId15" Type="http://schemas.openxmlformats.org/officeDocument/2006/relationships/chart" Target="../charts/chart9.xml"/><Relationship Id="rId10" Type="http://schemas.openxmlformats.org/officeDocument/2006/relationships/chart" Target="../charts/chart4.xml"/><Relationship Id="rId19" Type="http://schemas.openxmlformats.org/officeDocument/2006/relationships/image" Target="../media/image8.png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chart" Target="../charts/chart8.xml"/><Relationship Id="rId22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1</xdr:row>
      <xdr:rowOff>142875</xdr:rowOff>
    </xdr:from>
    <xdr:to>
      <xdr:col>5</xdr:col>
      <xdr:colOff>619125</xdr:colOff>
      <xdr:row>6</xdr:row>
      <xdr:rowOff>66675</xdr:rowOff>
    </xdr:to>
    <xdr:sp macro="" textlink="Traitement!A26">
      <xdr:nvSpPr>
        <xdr:cNvPr id="2" name="Rectangle : coins arrondis 1">
          <a:extLst>
            <a:ext uri="{FF2B5EF4-FFF2-40B4-BE49-F238E27FC236}">
              <a16:creationId xmlns:a16="http://schemas.microsoft.com/office/drawing/2014/main" id="{599B0ABF-D8E6-4D89-8614-AF0DF2F90C3D}"/>
            </a:ext>
          </a:extLst>
        </xdr:cNvPr>
        <xdr:cNvSpPr/>
      </xdr:nvSpPr>
      <xdr:spPr>
        <a:xfrm>
          <a:off x="2476500" y="142875"/>
          <a:ext cx="1952625" cy="8763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fld id="{2BFD3E68-C18E-4E5A-BEE3-0E455F99F904}" type="TxLink">
            <a:rPr lang="en-US" sz="2400" b="0" i="0" u="none" strike="noStrike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l"/>
            <a:t>82</a:t>
          </a:fld>
          <a:endParaRPr lang="en-US" sz="24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704850</xdr:colOff>
      <xdr:row>1</xdr:row>
      <xdr:rowOff>142875</xdr:rowOff>
    </xdr:from>
    <xdr:to>
      <xdr:col>8</xdr:col>
      <xdr:colOff>371475</xdr:colOff>
      <xdr:row>6</xdr:row>
      <xdr:rowOff>66675</xdr:rowOff>
    </xdr:to>
    <xdr:sp macro="" textlink="Traitement!B26">
      <xdr:nvSpPr>
        <xdr:cNvPr id="3" name="Rectangle : coins arrondis 2">
          <a:extLst>
            <a:ext uri="{FF2B5EF4-FFF2-40B4-BE49-F238E27FC236}">
              <a16:creationId xmlns:a16="http://schemas.microsoft.com/office/drawing/2014/main" id="{C3B1C4F0-9D4C-4BAC-97FA-B03E1ACBC73D}"/>
            </a:ext>
          </a:extLst>
        </xdr:cNvPr>
        <xdr:cNvSpPr/>
      </xdr:nvSpPr>
      <xdr:spPr>
        <a:xfrm>
          <a:off x="4514850" y="142875"/>
          <a:ext cx="1952625" cy="8763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fld id="{228AE096-3C0E-4A93-84E6-E8EEA301C80F}" type="TxLink">
            <a:rPr lang="en-US" sz="1400" b="0" i="0" u="none" strike="noStrike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pPr marL="0" indent="0" algn="l"/>
            <a:t>GNF 82,150,000</a:t>
          </a:fld>
          <a:endParaRPr lang="en-US" sz="1400" b="0" i="0" u="none" strike="noStrike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476250</xdr:colOff>
      <xdr:row>1</xdr:row>
      <xdr:rowOff>142875</xdr:rowOff>
    </xdr:from>
    <xdr:to>
      <xdr:col>11</xdr:col>
      <xdr:colOff>142875</xdr:colOff>
      <xdr:row>6</xdr:row>
      <xdr:rowOff>66675</xdr:rowOff>
    </xdr:to>
    <xdr:sp macro="" textlink="Traitement!A29">
      <xdr:nvSpPr>
        <xdr:cNvPr id="4" name="Rectangle : coins arrondis 3">
          <a:extLst>
            <a:ext uri="{FF2B5EF4-FFF2-40B4-BE49-F238E27FC236}">
              <a16:creationId xmlns:a16="http://schemas.microsoft.com/office/drawing/2014/main" id="{9C191C10-4BF0-483A-8F9C-B7AF09C7E7ED}"/>
            </a:ext>
          </a:extLst>
        </xdr:cNvPr>
        <xdr:cNvSpPr/>
      </xdr:nvSpPr>
      <xdr:spPr>
        <a:xfrm>
          <a:off x="6572250" y="142875"/>
          <a:ext cx="1952625" cy="8763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fld id="{8AAF525B-1340-46F0-9D19-388C9C730CF6}" type="TxLink">
            <a:rPr lang="en-US" sz="1400" b="0" i="0" u="none" strike="noStrike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pPr marL="0" indent="0" algn="l"/>
            <a:t>39</a:t>
          </a:fld>
          <a:endParaRPr lang="en-US" sz="1400" b="0" i="0" u="none" strike="noStrike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247650</xdr:colOff>
      <xdr:row>1</xdr:row>
      <xdr:rowOff>142875</xdr:rowOff>
    </xdr:from>
    <xdr:to>
      <xdr:col>13</xdr:col>
      <xdr:colOff>676275</xdr:colOff>
      <xdr:row>6</xdr:row>
      <xdr:rowOff>66675</xdr:rowOff>
    </xdr:to>
    <xdr:sp macro="" textlink="Traitement!B29">
      <xdr:nvSpPr>
        <xdr:cNvPr id="5" name="Rectangle : coins arrondis 4">
          <a:extLst>
            <a:ext uri="{FF2B5EF4-FFF2-40B4-BE49-F238E27FC236}">
              <a16:creationId xmlns:a16="http://schemas.microsoft.com/office/drawing/2014/main" id="{0D01119F-B587-42A0-A22E-00F9D04CEA56}"/>
            </a:ext>
          </a:extLst>
        </xdr:cNvPr>
        <xdr:cNvSpPr/>
      </xdr:nvSpPr>
      <xdr:spPr>
        <a:xfrm>
          <a:off x="8629650" y="142875"/>
          <a:ext cx="1952625" cy="8763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fld id="{F168A5F7-CA6B-4FE2-8A55-A6251617D5DD}" type="TxLink">
            <a:rPr lang="en-US" sz="1400" b="0" i="0" u="none" strike="noStrike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pPr marL="0" indent="0" algn="l"/>
            <a:t>GNF 38,150,000</a:t>
          </a:fld>
          <a:endParaRPr lang="en-US" sz="1400" b="0" i="0" u="none" strike="noStrike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0</xdr:colOff>
      <xdr:row>1</xdr:row>
      <xdr:rowOff>142875</xdr:rowOff>
    </xdr:from>
    <xdr:to>
      <xdr:col>16</xdr:col>
      <xdr:colOff>428625</xdr:colOff>
      <xdr:row>6</xdr:row>
      <xdr:rowOff>66675</xdr:rowOff>
    </xdr:to>
    <xdr:sp macro="" textlink="Traitement!A32">
      <xdr:nvSpPr>
        <xdr:cNvPr id="6" name="Rectangle : coins arrondis 5">
          <a:extLst>
            <a:ext uri="{FF2B5EF4-FFF2-40B4-BE49-F238E27FC236}">
              <a16:creationId xmlns:a16="http://schemas.microsoft.com/office/drawing/2014/main" id="{37FEEBFF-F423-4388-8150-36A52D4F46CE}"/>
            </a:ext>
          </a:extLst>
        </xdr:cNvPr>
        <xdr:cNvSpPr/>
      </xdr:nvSpPr>
      <xdr:spPr>
        <a:xfrm>
          <a:off x="10668000" y="142875"/>
          <a:ext cx="1952625" cy="8763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fld id="{ECF2497A-803B-41BB-8EB0-696237EB2475}" type="TxLink">
            <a:rPr lang="en-US" sz="1400" b="0" i="0" u="none" strike="noStrike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pPr marL="0" indent="0" algn="l"/>
            <a:t>25</a:t>
          </a:fld>
          <a:endParaRPr lang="en-US" sz="1400" b="0" i="0" u="none" strike="noStrike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533400</xdr:colOff>
      <xdr:row>1</xdr:row>
      <xdr:rowOff>142875</xdr:rowOff>
    </xdr:from>
    <xdr:to>
      <xdr:col>19</xdr:col>
      <xdr:colOff>200025</xdr:colOff>
      <xdr:row>6</xdr:row>
      <xdr:rowOff>66675</xdr:rowOff>
    </xdr:to>
    <xdr:sp macro="" textlink="Traitement!B32">
      <xdr:nvSpPr>
        <xdr:cNvPr id="7" name="Rectangle : coins arrondis 6">
          <a:extLst>
            <a:ext uri="{FF2B5EF4-FFF2-40B4-BE49-F238E27FC236}">
              <a16:creationId xmlns:a16="http://schemas.microsoft.com/office/drawing/2014/main" id="{E6804915-5966-4317-B937-3935BD745953}"/>
            </a:ext>
          </a:extLst>
        </xdr:cNvPr>
        <xdr:cNvSpPr/>
      </xdr:nvSpPr>
      <xdr:spPr>
        <a:xfrm>
          <a:off x="12725400" y="142875"/>
          <a:ext cx="1952625" cy="8763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fld id="{1168212E-2FED-4A8D-B21B-CE7FD8816531}" type="TxLink">
            <a:rPr lang="en-US" sz="1400" b="0" i="0" u="none" strike="noStrike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pPr marL="0" indent="0" algn="l"/>
            <a:t>GNF 30,400,000</a:t>
          </a:fld>
          <a:endParaRPr lang="en-US" sz="1400" b="0" i="0" u="none" strike="noStrike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5</xdr:col>
      <xdr:colOff>142875</xdr:colOff>
      <xdr:row>3</xdr:row>
      <xdr:rowOff>185624</xdr:rowOff>
    </xdr:from>
    <xdr:to>
      <xdr:col>5</xdr:col>
      <xdr:colOff>564450</xdr:colOff>
      <xdr:row>6</xdr:row>
      <xdr:rowOff>35699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E6DA52F3-AE17-4179-9F29-F51CBA2C2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2875" y="566624"/>
          <a:ext cx="421575" cy="421575"/>
        </a:xfrm>
        <a:prstGeom prst="rect">
          <a:avLst/>
        </a:prstGeom>
      </xdr:spPr>
    </xdr:pic>
    <xdr:clientData/>
  </xdr:twoCellAnchor>
  <xdr:twoCellAnchor editAs="oneCell">
    <xdr:from>
      <xdr:col>10</xdr:col>
      <xdr:colOff>397925</xdr:colOff>
      <xdr:row>3</xdr:row>
      <xdr:rowOff>185594</xdr:rowOff>
    </xdr:from>
    <xdr:to>
      <xdr:col>11</xdr:col>
      <xdr:colOff>57559</xdr:colOff>
      <xdr:row>6</xdr:row>
      <xdr:rowOff>35728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CE728577-F17F-4040-9EBF-665A1C7A7A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17925" y="566594"/>
          <a:ext cx="421634" cy="421634"/>
        </a:xfrm>
        <a:prstGeom prst="rect">
          <a:avLst/>
        </a:prstGeom>
      </xdr:spPr>
    </xdr:pic>
    <xdr:clientData/>
  </xdr:twoCellAnchor>
  <xdr:twoCellAnchor editAs="oneCell">
    <xdr:from>
      <xdr:col>7</xdr:col>
      <xdr:colOff>652425</xdr:colOff>
      <xdr:row>3</xdr:row>
      <xdr:rowOff>185624</xdr:rowOff>
    </xdr:from>
    <xdr:to>
      <xdr:col>8</xdr:col>
      <xdr:colOff>312000</xdr:colOff>
      <xdr:row>6</xdr:row>
      <xdr:rowOff>35699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DEB00C06-CDA4-4F29-8C64-9CD0985B5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6425" y="566624"/>
          <a:ext cx="421575" cy="421575"/>
        </a:xfrm>
        <a:prstGeom prst="rect">
          <a:avLst/>
        </a:prstGeom>
      </xdr:spPr>
    </xdr:pic>
    <xdr:clientData/>
  </xdr:twoCellAnchor>
  <xdr:twoCellAnchor editAs="oneCell">
    <xdr:from>
      <xdr:col>18</xdr:col>
      <xdr:colOff>421425</xdr:colOff>
      <xdr:row>3</xdr:row>
      <xdr:rowOff>185624</xdr:rowOff>
    </xdr:from>
    <xdr:to>
      <xdr:col>18</xdr:col>
      <xdr:colOff>843000</xdr:colOff>
      <xdr:row>6</xdr:row>
      <xdr:rowOff>35699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31A983F7-1104-49DA-B76C-2AF88ED4A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37425" y="566624"/>
          <a:ext cx="421575" cy="421575"/>
        </a:xfrm>
        <a:prstGeom prst="rect">
          <a:avLst/>
        </a:prstGeom>
      </xdr:spPr>
    </xdr:pic>
    <xdr:clientData/>
  </xdr:twoCellAnchor>
  <xdr:twoCellAnchor editAs="oneCell">
    <xdr:from>
      <xdr:col>15</xdr:col>
      <xdr:colOff>676200</xdr:colOff>
      <xdr:row>3</xdr:row>
      <xdr:rowOff>185624</xdr:rowOff>
    </xdr:from>
    <xdr:to>
      <xdr:col>16</xdr:col>
      <xdr:colOff>335775</xdr:colOff>
      <xdr:row>6</xdr:row>
      <xdr:rowOff>35699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0296C35F-4DE3-4E0E-A809-6DFBB321E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06200" y="566624"/>
          <a:ext cx="421575" cy="421575"/>
        </a:xfrm>
        <a:prstGeom prst="rect">
          <a:avLst/>
        </a:prstGeom>
      </xdr:spPr>
    </xdr:pic>
    <xdr:clientData/>
  </xdr:twoCellAnchor>
  <xdr:twoCellAnchor editAs="oneCell">
    <xdr:from>
      <xdr:col>13</xdr:col>
      <xdr:colOff>207075</xdr:colOff>
      <xdr:row>3</xdr:row>
      <xdr:rowOff>185624</xdr:rowOff>
    </xdr:from>
    <xdr:to>
      <xdr:col>13</xdr:col>
      <xdr:colOff>628650</xdr:colOff>
      <xdr:row>6</xdr:row>
      <xdr:rowOff>35699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1605FC5-33ED-4CA2-936B-F716F72CB5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13075" y="566624"/>
          <a:ext cx="421575" cy="421575"/>
        </a:xfrm>
        <a:prstGeom prst="rect">
          <a:avLst/>
        </a:prstGeom>
      </xdr:spPr>
    </xdr:pic>
    <xdr:clientData/>
  </xdr:twoCellAnchor>
  <xdr:oneCellAnchor>
    <xdr:from>
      <xdr:col>6</xdr:col>
      <xdr:colOff>0</xdr:colOff>
      <xdr:row>1</xdr:row>
      <xdr:rowOff>171450</xdr:rowOff>
    </xdr:from>
    <xdr:ext cx="1093376" cy="254493"/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9F539366-84F3-4650-AEE8-7B999CD4F4B1}"/>
            </a:ext>
          </a:extLst>
        </xdr:cNvPr>
        <xdr:cNvSpPr txBox="1"/>
      </xdr:nvSpPr>
      <xdr:spPr>
        <a:xfrm>
          <a:off x="4572000" y="171450"/>
          <a:ext cx="1093376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Valeur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de Stock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8</xdr:col>
      <xdr:colOff>561975</xdr:colOff>
      <xdr:row>1</xdr:row>
      <xdr:rowOff>161925</xdr:rowOff>
    </xdr:from>
    <xdr:ext cx="1163780" cy="254493"/>
    <xdr:sp macro="" textlink="">
      <xdr:nvSpPr>
        <xdr:cNvPr id="24" name="ZoneTexte 23">
          <a:extLst>
            <a:ext uri="{FF2B5EF4-FFF2-40B4-BE49-F238E27FC236}">
              <a16:creationId xmlns:a16="http://schemas.microsoft.com/office/drawing/2014/main" id="{0E33AF6E-F8F3-4BD7-91E3-D93AFE49E7AA}"/>
            </a:ext>
          </a:extLst>
        </xdr:cNvPr>
        <xdr:cNvSpPr txBox="1"/>
      </xdr:nvSpPr>
      <xdr:spPr>
        <a:xfrm>
          <a:off x="6657975" y="161925"/>
          <a:ext cx="1163780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Total des Entrées</a:t>
          </a:r>
        </a:p>
      </xdr:txBody>
    </xdr:sp>
    <xdr:clientData/>
  </xdr:oneCellAnchor>
  <xdr:oneCellAnchor>
    <xdr:from>
      <xdr:col>3</xdr:col>
      <xdr:colOff>266700</xdr:colOff>
      <xdr:row>1</xdr:row>
      <xdr:rowOff>142875</xdr:rowOff>
    </xdr:from>
    <xdr:ext cx="838884" cy="254493"/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5589DA58-AD5D-444C-B5B3-B69B94BE73F3}"/>
            </a:ext>
          </a:extLst>
        </xdr:cNvPr>
        <xdr:cNvSpPr txBox="1"/>
      </xdr:nvSpPr>
      <xdr:spPr>
        <a:xfrm>
          <a:off x="2552700" y="142875"/>
          <a:ext cx="838884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Stock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Total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11</xdr:col>
      <xdr:colOff>314325</xdr:colOff>
      <xdr:row>1</xdr:row>
      <xdr:rowOff>171450</xdr:rowOff>
    </xdr:from>
    <xdr:ext cx="1249894" cy="254493"/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F0276316-20D6-4BFD-AEA4-0BF5710FECD3}"/>
            </a:ext>
          </a:extLst>
        </xdr:cNvPr>
        <xdr:cNvSpPr txBox="1"/>
      </xdr:nvSpPr>
      <xdr:spPr>
        <a:xfrm>
          <a:off x="8696325" y="171450"/>
          <a:ext cx="1249894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Valeur des Entrées</a:t>
          </a:r>
        </a:p>
      </xdr:txBody>
    </xdr:sp>
    <xdr:clientData/>
  </xdr:oneCellAnchor>
  <xdr:oneCellAnchor>
    <xdr:from>
      <xdr:col>14</xdr:col>
      <xdr:colOff>95250</xdr:colOff>
      <xdr:row>1</xdr:row>
      <xdr:rowOff>171450</xdr:rowOff>
    </xdr:from>
    <xdr:ext cx="1132682" cy="254493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E5F6A9C4-693C-4BAF-91A2-0FF04040ECDC}"/>
            </a:ext>
          </a:extLst>
        </xdr:cNvPr>
        <xdr:cNvSpPr txBox="1"/>
      </xdr:nvSpPr>
      <xdr:spPr>
        <a:xfrm>
          <a:off x="10763250" y="171450"/>
          <a:ext cx="1132682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Total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des Sorties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16</xdr:col>
      <xdr:colOff>590550</xdr:colOff>
      <xdr:row>1</xdr:row>
      <xdr:rowOff>161925</xdr:rowOff>
    </xdr:from>
    <xdr:ext cx="1218795" cy="254493"/>
    <xdr:sp macro="" textlink="">
      <xdr:nvSpPr>
        <xdr:cNvPr id="28" name="ZoneTexte 27">
          <a:extLst>
            <a:ext uri="{FF2B5EF4-FFF2-40B4-BE49-F238E27FC236}">
              <a16:creationId xmlns:a16="http://schemas.microsoft.com/office/drawing/2014/main" id="{881BD79B-20E2-4033-8F0C-4E1FE0EA2252}"/>
            </a:ext>
          </a:extLst>
        </xdr:cNvPr>
        <xdr:cNvSpPr txBox="1"/>
      </xdr:nvSpPr>
      <xdr:spPr>
        <a:xfrm>
          <a:off x="12782550" y="161925"/>
          <a:ext cx="1218795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Valeur des Sorties</a:t>
          </a:r>
        </a:p>
      </xdr:txBody>
    </xdr:sp>
    <xdr:clientData/>
  </xdr:oneCellAnchor>
  <xdr:twoCellAnchor>
    <xdr:from>
      <xdr:col>3</xdr:col>
      <xdr:colOff>247649</xdr:colOff>
      <xdr:row>7</xdr:row>
      <xdr:rowOff>9525</xdr:rowOff>
    </xdr:from>
    <xdr:to>
      <xdr:col>8</xdr:col>
      <xdr:colOff>428624</xdr:colOff>
      <xdr:row>17</xdr:row>
      <xdr:rowOff>9524</xdr:rowOff>
    </xdr:to>
    <xdr:sp macro="" textlink="">
      <xdr:nvSpPr>
        <xdr:cNvPr id="29" name="Rectangle : coins arrondis 28">
          <a:extLst>
            <a:ext uri="{FF2B5EF4-FFF2-40B4-BE49-F238E27FC236}">
              <a16:creationId xmlns:a16="http://schemas.microsoft.com/office/drawing/2014/main" id="{89FB5E3A-23F6-45A0-929B-73331F1B21D7}"/>
            </a:ext>
          </a:extLst>
        </xdr:cNvPr>
        <xdr:cNvSpPr/>
      </xdr:nvSpPr>
      <xdr:spPr>
        <a:xfrm>
          <a:off x="2533649" y="1152525"/>
          <a:ext cx="3990975" cy="1904999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514349</xdr:colOff>
      <xdr:row>7</xdr:row>
      <xdr:rowOff>9525</xdr:rowOff>
    </xdr:from>
    <xdr:to>
      <xdr:col>19</xdr:col>
      <xdr:colOff>276225</xdr:colOff>
      <xdr:row>17</xdr:row>
      <xdr:rowOff>9524</xdr:rowOff>
    </xdr:to>
    <xdr:sp macro="" textlink="">
      <xdr:nvSpPr>
        <xdr:cNvPr id="30" name="Rectangle : coins arrondis 29">
          <a:extLst>
            <a:ext uri="{FF2B5EF4-FFF2-40B4-BE49-F238E27FC236}">
              <a16:creationId xmlns:a16="http://schemas.microsoft.com/office/drawing/2014/main" id="{BE59123F-7E24-41C9-88A7-19A23298DEFE}"/>
            </a:ext>
          </a:extLst>
        </xdr:cNvPr>
        <xdr:cNvSpPr/>
      </xdr:nvSpPr>
      <xdr:spPr>
        <a:xfrm>
          <a:off x="6610349" y="1152525"/>
          <a:ext cx="8143876" cy="1904999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247649</xdr:colOff>
      <xdr:row>7</xdr:row>
      <xdr:rowOff>23812</xdr:rowOff>
    </xdr:from>
    <xdr:to>
      <xdr:col>6</xdr:col>
      <xdr:colOff>47625</xdr:colOff>
      <xdr:row>16</xdr:row>
      <xdr:rowOff>176212</xdr:rowOff>
    </xdr:to>
    <xdr:graphicFrame macro="">
      <xdr:nvGraphicFramePr>
        <xdr:cNvPr id="31" name="Graphique 30">
          <a:extLst>
            <a:ext uri="{FF2B5EF4-FFF2-40B4-BE49-F238E27FC236}">
              <a16:creationId xmlns:a16="http://schemas.microsoft.com/office/drawing/2014/main" id="{2C684584-E8F1-4EAA-9B90-7756106E26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742950</xdr:colOff>
      <xdr:row>7</xdr:row>
      <xdr:rowOff>19050</xdr:rowOff>
    </xdr:from>
    <xdr:to>
      <xdr:col>8</xdr:col>
      <xdr:colOff>457200</xdr:colOff>
      <xdr:row>16</xdr:row>
      <xdr:rowOff>180975</xdr:rowOff>
    </xdr:to>
    <xdr:graphicFrame macro="">
      <xdr:nvGraphicFramePr>
        <xdr:cNvPr id="32" name="Graphique 31">
          <a:extLst>
            <a:ext uri="{FF2B5EF4-FFF2-40B4-BE49-F238E27FC236}">
              <a16:creationId xmlns:a16="http://schemas.microsoft.com/office/drawing/2014/main" id="{F4924136-12DF-438D-8C9C-AC3AD30F69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28575</xdr:colOff>
      <xdr:row>8</xdr:row>
      <xdr:rowOff>133350</xdr:rowOff>
    </xdr:from>
    <xdr:to>
      <xdr:col>5</xdr:col>
      <xdr:colOff>238125</xdr:colOff>
      <xdr:row>13</xdr:row>
      <xdr:rowOff>152400</xdr:rowOff>
    </xdr:to>
    <xdr:sp macro="" textlink="">
      <xdr:nvSpPr>
        <xdr:cNvPr id="33" name="Organigramme : Connecteur 32">
          <a:extLst>
            <a:ext uri="{FF2B5EF4-FFF2-40B4-BE49-F238E27FC236}">
              <a16:creationId xmlns:a16="http://schemas.microsoft.com/office/drawing/2014/main" id="{8A30785E-B8CC-4A39-83F6-8284B824465D}"/>
            </a:ext>
          </a:extLst>
        </xdr:cNvPr>
        <xdr:cNvSpPr/>
      </xdr:nvSpPr>
      <xdr:spPr>
        <a:xfrm>
          <a:off x="3076575" y="1466850"/>
          <a:ext cx="971550" cy="971550"/>
        </a:xfrm>
        <a:prstGeom prst="flowChartConnector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542850</xdr:colOff>
      <xdr:row>8</xdr:row>
      <xdr:rowOff>133350</xdr:rowOff>
    </xdr:from>
    <xdr:to>
      <xdr:col>7</xdr:col>
      <xdr:colOff>681000</xdr:colOff>
      <xdr:row>13</xdr:row>
      <xdr:rowOff>152400</xdr:rowOff>
    </xdr:to>
    <xdr:sp macro="" textlink="">
      <xdr:nvSpPr>
        <xdr:cNvPr id="35" name="Organigramme : Connecteur 34">
          <a:extLst>
            <a:ext uri="{FF2B5EF4-FFF2-40B4-BE49-F238E27FC236}">
              <a16:creationId xmlns:a16="http://schemas.microsoft.com/office/drawing/2014/main" id="{87021305-473B-40F1-9F60-C52475FB88ED}"/>
            </a:ext>
          </a:extLst>
        </xdr:cNvPr>
        <xdr:cNvSpPr/>
      </xdr:nvSpPr>
      <xdr:spPr>
        <a:xfrm>
          <a:off x="5114850" y="1466850"/>
          <a:ext cx="900150" cy="971550"/>
        </a:xfrm>
        <a:prstGeom prst="flowChartConnector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523875</xdr:colOff>
      <xdr:row>7</xdr:row>
      <xdr:rowOff>23812</xdr:rowOff>
    </xdr:from>
    <xdr:to>
      <xdr:col>11</xdr:col>
      <xdr:colOff>247651</xdr:colOff>
      <xdr:row>16</xdr:row>
      <xdr:rowOff>180975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25C75A0A-1360-4374-B69A-807FA21EE9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268431</xdr:colOff>
      <xdr:row>8</xdr:row>
      <xdr:rowOff>171450</xdr:rowOff>
    </xdr:from>
    <xdr:to>
      <xdr:col>10</xdr:col>
      <xdr:colOff>485775</xdr:colOff>
      <xdr:row>13</xdr:row>
      <xdr:rowOff>133349</xdr:rowOff>
    </xdr:to>
    <xdr:sp macro="" textlink="">
      <xdr:nvSpPr>
        <xdr:cNvPr id="40" name="Ellipse 39">
          <a:extLst>
            <a:ext uri="{FF2B5EF4-FFF2-40B4-BE49-F238E27FC236}">
              <a16:creationId xmlns:a16="http://schemas.microsoft.com/office/drawing/2014/main" id="{700FB712-D07B-4950-B7D2-4D1C14088F4F}"/>
            </a:ext>
          </a:extLst>
        </xdr:cNvPr>
        <xdr:cNvSpPr/>
      </xdr:nvSpPr>
      <xdr:spPr>
        <a:xfrm>
          <a:off x="7126431" y="1504950"/>
          <a:ext cx="979344" cy="914399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323850</xdr:colOff>
      <xdr:row>7</xdr:row>
      <xdr:rowOff>28575</xdr:rowOff>
    </xdr:from>
    <xdr:to>
      <xdr:col>14</xdr:col>
      <xdr:colOff>38100</xdr:colOff>
      <xdr:row>16</xdr:row>
      <xdr:rowOff>161925</xdr:rowOff>
    </xdr:to>
    <xdr:graphicFrame macro="">
      <xdr:nvGraphicFramePr>
        <xdr:cNvPr id="41" name="Graphique 40">
          <a:extLst>
            <a:ext uri="{FF2B5EF4-FFF2-40B4-BE49-F238E27FC236}">
              <a16:creationId xmlns:a16="http://schemas.microsoft.com/office/drawing/2014/main" id="{F33D2A2D-ED61-46E1-B2F4-AB5C6BEB06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66675</xdr:colOff>
      <xdr:row>8</xdr:row>
      <xdr:rowOff>133349</xdr:rowOff>
    </xdr:from>
    <xdr:to>
      <xdr:col>13</xdr:col>
      <xdr:colOff>285750</xdr:colOff>
      <xdr:row>13</xdr:row>
      <xdr:rowOff>142874</xdr:rowOff>
    </xdr:to>
    <xdr:sp macro="" textlink="">
      <xdr:nvSpPr>
        <xdr:cNvPr id="42" name="Ellipse 41">
          <a:extLst>
            <a:ext uri="{FF2B5EF4-FFF2-40B4-BE49-F238E27FC236}">
              <a16:creationId xmlns:a16="http://schemas.microsoft.com/office/drawing/2014/main" id="{AD80B3D6-A87C-4380-B1E5-AF50752D7FA7}"/>
            </a:ext>
          </a:extLst>
        </xdr:cNvPr>
        <xdr:cNvSpPr/>
      </xdr:nvSpPr>
      <xdr:spPr>
        <a:xfrm>
          <a:off x="9210675" y="1466849"/>
          <a:ext cx="981075" cy="962025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9525</xdr:colOff>
      <xdr:row>7</xdr:row>
      <xdr:rowOff>28575</xdr:rowOff>
    </xdr:from>
    <xdr:to>
      <xdr:col>16</xdr:col>
      <xdr:colOff>571500</xdr:colOff>
      <xdr:row>17</xdr:row>
      <xdr:rowOff>38100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9E43E8DE-B1D5-4E10-86A9-4B09F0DF1E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14</xdr:col>
      <xdr:colOff>561975</xdr:colOff>
      <xdr:row>8</xdr:row>
      <xdr:rowOff>171449</xdr:rowOff>
    </xdr:from>
    <xdr:to>
      <xdr:col>16</xdr:col>
      <xdr:colOff>19050</xdr:colOff>
      <xdr:row>13</xdr:row>
      <xdr:rowOff>180974</xdr:rowOff>
    </xdr:to>
    <xdr:sp macro="" textlink="">
      <xdr:nvSpPr>
        <xdr:cNvPr id="44" name="Ellipse 43">
          <a:extLst>
            <a:ext uri="{FF2B5EF4-FFF2-40B4-BE49-F238E27FC236}">
              <a16:creationId xmlns:a16="http://schemas.microsoft.com/office/drawing/2014/main" id="{E1BFC4E5-F6AF-4A1E-9556-E78A96CC2CCA}"/>
            </a:ext>
          </a:extLst>
        </xdr:cNvPr>
        <xdr:cNvSpPr/>
      </xdr:nvSpPr>
      <xdr:spPr>
        <a:xfrm>
          <a:off x="11229975" y="1504949"/>
          <a:ext cx="981075" cy="962025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542926</xdr:colOff>
      <xdr:row>7</xdr:row>
      <xdr:rowOff>19050</xdr:rowOff>
    </xdr:from>
    <xdr:to>
      <xdr:col>19</xdr:col>
      <xdr:colOff>295276</xdr:colOff>
      <xdr:row>17</xdr:row>
      <xdr:rowOff>57150</xdr:rowOff>
    </xdr:to>
    <xdr:graphicFrame macro="">
      <xdr:nvGraphicFramePr>
        <xdr:cNvPr id="46" name="Graphique 45">
          <a:extLst>
            <a:ext uri="{FF2B5EF4-FFF2-40B4-BE49-F238E27FC236}">
              <a16:creationId xmlns:a16="http://schemas.microsoft.com/office/drawing/2014/main" id="{2B98E29C-A27D-49AB-B572-5FC84EE9D5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428625</xdr:colOff>
      <xdr:row>8</xdr:row>
      <xdr:rowOff>180974</xdr:rowOff>
    </xdr:from>
    <xdr:to>
      <xdr:col>18</xdr:col>
      <xdr:colOff>638174</xdr:colOff>
      <xdr:row>14</xdr:row>
      <xdr:rowOff>0</xdr:rowOff>
    </xdr:to>
    <xdr:sp macro="" textlink="">
      <xdr:nvSpPr>
        <xdr:cNvPr id="47" name="Ellipse 46">
          <a:extLst>
            <a:ext uri="{FF2B5EF4-FFF2-40B4-BE49-F238E27FC236}">
              <a16:creationId xmlns:a16="http://schemas.microsoft.com/office/drawing/2014/main" id="{DE3AF32C-59B2-4A74-8E4D-08FD5BAC8DC5}"/>
            </a:ext>
          </a:extLst>
        </xdr:cNvPr>
        <xdr:cNvSpPr/>
      </xdr:nvSpPr>
      <xdr:spPr>
        <a:xfrm>
          <a:off x="13382625" y="1704974"/>
          <a:ext cx="971549" cy="962026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</xdr:col>
      <xdr:colOff>133350</xdr:colOff>
      <xdr:row>10</xdr:row>
      <xdr:rowOff>19050</xdr:rowOff>
    </xdr:from>
    <xdr:ext cx="800100" cy="416653"/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F5622AAA-1F92-40E0-9A95-B5E698E7CED5}"/>
            </a:ext>
          </a:extLst>
        </xdr:cNvPr>
        <xdr:cNvSpPr txBox="1"/>
      </xdr:nvSpPr>
      <xdr:spPr>
        <a:xfrm>
          <a:off x="3181350" y="1733550"/>
          <a:ext cx="800100" cy="4166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Stock</a:t>
          </a:r>
          <a:r>
            <a:rPr lang="en-US" sz="1100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par </a:t>
          </a:r>
        </a:p>
        <a:p>
          <a:r>
            <a:rPr lang="en-US" sz="1100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Catégorie</a:t>
          </a:r>
          <a:endParaRPr lang="en-US" sz="110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6</xdr:col>
      <xdr:colOff>552450</xdr:colOff>
      <xdr:row>9</xdr:row>
      <xdr:rowOff>161925</xdr:rowOff>
    </xdr:from>
    <xdr:ext cx="800100" cy="416653"/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FE2990E2-A3AB-4AB1-8CF6-FC2927072586}"/>
            </a:ext>
          </a:extLst>
        </xdr:cNvPr>
        <xdr:cNvSpPr txBox="1"/>
      </xdr:nvSpPr>
      <xdr:spPr>
        <a:xfrm>
          <a:off x="5124450" y="1685925"/>
          <a:ext cx="800100" cy="4166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Valeur</a:t>
          </a:r>
          <a:r>
            <a:rPr lang="en-US" sz="1100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par </a:t>
          </a:r>
        </a:p>
        <a:p>
          <a:r>
            <a:rPr lang="en-US" sz="1100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Catégorie</a:t>
          </a:r>
          <a:endParaRPr lang="en-US" sz="110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9</xdr:col>
      <xdr:colOff>361950</xdr:colOff>
      <xdr:row>9</xdr:row>
      <xdr:rowOff>95250</xdr:rowOff>
    </xdr:from>
    <xdr:ext cx="800100" cy="578813"/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A6F031DF-DADB-4CC4-9D9C-58842F94176F}"/>
            </a:ext>
          </a:extLst>
        </xdr:cNvPr>
        <xdr:cNvSpPr txBox="1"/>
      </xdr:nvSpPr>
      <xdr:spPr>
        <a:xfrm>
          <a:off x="7219950" y="1619250"/>
          <a:ext cx="800100" cy="5788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Total des entrées par catégorie</a:t>
          </a:r>
        </a:p>
      </xdr:txBody>
    </xdr:sp>
    <xdr:clientData/>
  </xdr:oneCellAnchor>
  <xdr:oneCellAnchor>
    <xdr:from>
      <xdr:col>14</xdr:col>
      <xdr:colOff>657225</xdr:colOff>
      <xdr:row>9</xdr:row>
      <xdr:rowOff>142875</xdr:rowOff>
    </xdr:from>
    <xdr:ext cx="800100" cy="578813"/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7E212188-E386-45E7-A28D-6443671B0CF2}"/>
            </a:ext>
          </a:extLst>
        </xdr:cNvPr>
        <xdr:cNvSpPr txBox="1"/>
      </xdr:nvSpPr>
      <xdr:spPr>
        <a:xfrm>
          <a:off x="11325225" y="1666875"/>
          <a:ext cx="800100" cy="5788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Total des Sorties par catégorie</a:t>
          </a:r>
        </a:p>
      </xdr:txBody>
    </xdr:sp>
    <xdr:clientData/>
  </xdr:oneCellAnchor>
  <xdr:oneCellAnchor>
    <xdr:from>
      <xdr:col>12</xdr:col>
      <xdr:colOff>190500</xdr:colOff>
      <xdr:row>9</xdr:row>
      <xdr:rowOff>133350</xdr:rowOff>
    </xdr:from>
    <xdr:ext cx="800100" cy="578813"/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56C22F07-7084-4BB9-9BE7-301DA23EC55B}"/>
            </a:ext>
          </a:extLst>
        </xdr:cNvPr>
        <xdr:cNvSpPr txBox="1"/>
      </xdr:nvSpPr>
      <xdr:spPr>
        <a:xfrm>
          <a:off x="9334500" y="1657350"/>
          <a:ext cx="800100" cy="5788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Valeur des entrées par catégorie</a:t>
          </a:r>
        </a:p>
      </xdr:txBody>
    </xdr:sp>
    <xdr:clientData/>
  </xdr:oneCellAnchor>
  <xdr:oneCellAnchor>
    <xdr:from>
      <xdr:col>17</xdr:col>
      <xdr:colOff>495300</xdr:colOff>
      <xdr:row>9</xdr:row>
      <xdr:rowOff>152400</xdr:rowOff>
    </xdr:from>
    <xdr:ext cx="800100" cy="578813"/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28EE9835-2581-4DBD-8540-2932BBA968B0}"/>
            </a:ext>
          </a:extLst>
        </xdr:cNvPr>
        <xdr:cNvSpPr txBox="1"/>
      </xdr:nvSpPr>
      <xdr:spPr>
        <a:xfrm>
          <a:off x="13449300" y="1866900"/>
          <a:ext cx="800100" cy="5788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Valeur des Sorties par catégorie</a:t>
          </a:r>
        </a:p>
      </xdr:txBody>
    </xdr:sp>
    <xdr:clientData/>
  </xdr:oneCellAnchor>
  <xdr:twoCellAnchor>
    <xdr:from>
      <xdr:col>3</xdr:col>
      <xdr:colOff>333375</xdr:colOff>
      <xdr:row>27</xdr:row>
      <xdr:rowOff>133350</xdr:rowOff>
    </xdr:from>
    <xdr:to>
      <xdr:col>8</xdr:col>
      <xdr:colOff>485775</xdr:colOff>
      <xdr:row>37</xdr:row>
      <xdr:rowOff>114300</xdr:rowOff>
    </xdr:to>
    <xdr:sp macro="" textlink="">
      <xdr:nvSpPr>
        <xdr:cNvPr id="54" name="Rectangle : coins arrondis 53">
          <a:extLst>
            <a:ext uri="{FF2B5EF4-FFF2-40B4-BE49-F238E27FC236}">
              <a16:creationId xmlns:a16="http://schemas.microsoft.com/office/drawing/2014/main" id="{847ABF71-5996-463F-A7C5-CC1A8BF4375B}"/>
            </a:ext>
          </a:extLst>
        </xdr:cNvPr>
        <xdr:cNvSpPr/>
      </xdr:nvSpPr>
      <xdr:spPr>
        <a:xfrm>
          <a:off x="2619375" y="5086350"/>
          <a:ext cx="3962400" cy="188595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17</xdr:row>
      <xdr:rowOff>76200</xdr:rowOff>
    </xdr:from>
    <xdr:to>
      <xdr:col>13</xdr:col>
      <xdr:colOff>685800</xdr:colOff>
      <xdr:row>27</xdr:row>
      <xdr:rowOff>57150</xdr:rowOff>
    </xdr:to>
    <xdr:sp macro="" textlink="">
      <xdr:nvSpPr>
        <xdr:cNvPr id="55" name="Rectangle : coins arrondis 54">
          <a:extLst>
            <a:ext uri="{FF2B5EF4-FFF2-40B4-BE49-F238E27FC236}">
              <a16:creationId xmlns:a16="http://schemas.microsoft.com/office/drawing/2014/main" id="{8C2121B3-8D46-4388-BC86-EBD24E0D3848}"/>
            </a:ext>
          </a:extLst>
        </xdr:cNvPr>
        <xdr:cNvSpPr/>
      </xdr:nvSpPr>
      <xdr:spPr>
        <a:xfrm>
          <a:off x="6629400" y="3124200"/>
          <a:ext cx="3962400" cy="188595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0</xdr:colOff>
      <xdr:row>17</xdr:row>
      <xdr:rowOff>76200</xdr:rowOff>
    </xdr:from>
    <xdr:to>
      <xdr:col>19</xdr:col>
      <xdr:colOff>152400</xdr:colOff>
      <xdr:row>27</xdr:row>
      <xdr:rowOff>57150</xdr:rowOff>
    </xdr:to>
    <xdr:sp macro="" textlink="">
      <xdr:nvSpPr>
        <xdr:cNvPr id="56" name="Rectangle : coins arrondis 55">
          <a:extLst>
            <a:ext uri="{FF2B5EF4-FFF2-40B4-BE49-F238E27FC236}">
              <a16:creationId xmlns:a16="http://schemas.microsoft.com/office/drawing/2014/main" id="{5A972F55-CDEA-4A71-80C5-E178C7097186}"/>
            </a:ext>
          </a:extLst>
        </xdr:cNvPr>
        <xdr:cNvSpPr/>
      </xdr:nvSpPr>
      <xdr:spPr>
        <a:xfrm>
          <a:off x="10668000" y="3124200"/>
          <a:ext cx="3962400" cy="188595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17</xdr:row>
      <xdr:rowOff>95250</xdr:rowOff>
    </xdr:from>
    <xdr:to>
      <xdr:col>13</xdr:col>
      <xdr:colOff>438150</xdr:colOff>
      <xdr:row>27</xdr:row>
      <xdr:rowOff>9525</xdr:rowOff>
    </xdr:to>
    <xdr:graphicFrame macro="">
      <xdr:nvGraphicFramePr>
        <xdr:cNvPr id="57" name="Graphique 56">
          <a:extLst>
            <a:ext uri="{FF2B5EF4-FFF2-40B4-BE49-F238E27FC236}">
              <a16:creationId xmlns:a16="http://schemas.microsoft.com/office/drawing/2014/main" id="{969052ED-BF17-40BA-8482-F832464154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85725</xdr:colOff>
      <xdr:row>17</xdr:row>
      <xdr:rowOff>133350</xdr:rowOff>
    </xdr:from>
    <xdr:to>
      <xdr:col>19</xdr:col>
      <xdr:colOff>28574</xdr:colOff>
      <xdr:row>27</xdr:row>
      <xdr:rowOff>38100</xdr:rowOff>
    </xdr:to>
    <xdr:graphicFrame macro="">
      <xdr:nvGraphicFramePr>
        <xdr:cNvPr id="59" name="Graphique 58">
          <a:extLst>
            <a:ext uri="{FF2B5EF4-FFF2-40B4-BE49-F238E27FC236}">
              <a16:creationId xmlns:a16="http://schemas.microsoft.com/office/drawing/2014/main" id="{14C5D3C2-F231-4E03-82E1-567CC48B22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561975</xdr:colOff>
      <xdr:row>27</xdr:row>
      <xdr:rowOff>133350</xdr:rowOff>
    </xdr:from>
    <xdr:to>
      <xdr:col>13</xdr:col>
      <xdr:colOff>714375</xdr:colOff>
      <xdr:row>37</xdr:row>
      <xdr:rowOff>114300</xdr:rowOff>
    </xdr:to>
    <xdr:sp macro="" textlink="">
      <xdr:nvSpPr>
        <xdr:cNvPr id="60" name="Rectangle : coins arrondis 59">
          <a:extLst>
            <a:ext uri="{FF2B5EF4-FFF2-40B4-BE49-F238E27FC236}">
              <a16:creationId xmlns:a16="http://schemas.microsoft.com/office/drawing/2014/main" id="{C0D29936-2CD7-4FCE-9A92-ABED5238E0EE}"/>
            </a:ext>
          </a:extLst>
        </xdr:cNvPr>
        <xdr:cNvSpPr/>
      </xdr:nvSpPr>
      <xdr:spPr>
        <a:xfrm>
          <a:off x="6657975" y="5086350"/>
          <a:ext cx="3962400" cy="188595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104775</xdr:colOff>
      <xdr:row>27</xdr:row>
      <xdr:rowOff>133350</xdr:rowOff>
    </xdr:from>
    <xdr:to>
      <xdr:col>19</xdr:col>
      <xdr:colOff>257175</xdr:colOff>
      <xdr:row>37</xdr:row>
      <xdr:rowOff>114300</xdr:rowOff>
    </xdr:to>
    <xdr:sp macro="" textlink="">
      <xdr:nvSpPr>
        <xdr:cNvPr id="61" name="Rectangle : coins arrondis 60">
          <a:extLst>
            <a:ext uri="{FF2B5EF4-FFF2-40B4-BE49-F238E27FC236}">
              <a16:creationId xmlns:a16="http://schemas.microsoft.com/office/drawing/2014/main" id="{9D06F634-6C36-434F-BBBC-34C212561CFA}"/>
            </a:ext>
          </a:extLst>
        </xdr:cNvPr>
        <xdr:cNvSpPr/>
      </xdr:nvSpPr>
      <xdr:spPr>
        <a:xfrm>
          <a:off x="10772775" y="5086350"/>
          <a:ext cx="3962400" cy="188595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276225</xdr:colOff>
      <xdr:row>17</xdr:row>
      <xdr:rowOff>66675</xdr:rowOff>
    </xdr:from>
    <xdr:to>
      <xdr:col>8</xdr:col>
      <xdr:colOff>428625</xdr:colOff>
      <xdr:row>27</xdr:row>
      <xdr:rowOff>47625</xdr:rowOff>
    </xdr:to>
    <xdr:sp macro="" textlink="">
      <xdr:nvSpPr>
        <xdr:cNvPr id="65" name="Rectangle : coins arrondis 64">
          <a:extLst>
            <a:ext uri="{FF2B5EF4-FFF2-40B4-BE49-F238E27FC236}">
              <a16:creationId xmlns:a16="http://schemas.microsoft.com/office/drawing/2014/main" id="{E85496CB-577C-4E20-9DDD-76CB94C88E91}"/>
            </a:ext>
          </a:extLst>
        </xdr:cNvPr>
        <xdr:cNvSpPr/>
      </xdr:nvSpPr>
      <xdr:spPr>
        <a:xfrm>
          <a:off x="2562225" y="3114675"/>
          <a:ext cx="3962400" cy="188595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561975</xdr:colOff>
      <xdr:row>27</xdr:row>
      <xdr:rowOff>133350</xdr:rowOff>
    </xdr:from>
    <xdr:to>
      <xdr:col>13</xdr:col>
      <xdr:colOff>581025</xdr:colOff>
      <xdr:row>37</xdr:row>
      <xdr:rowOff>95250</xdr:rowOff>
    </xdr:to>
    <xdr:graphicFrame macro="">
      <xdr:nvGraphicFramePr>
        <xdr:cNvPr id="66" name="Graphique 65">
          <a:extLst>
            <a:ext uri="{FF2B5EF4-FFF2-40B4-BE49-F238E27FC236}">
              <a16:creationId xmlns:a16="http://schemas.microsoft.com/office/drawing/2014/main" id="{75E603CA-9EDF-4D4B-B9D4-E384301694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14</xdr:col>
      <xdr:colOff>247650</xdr:colOff>
      <xdr:row>28</xdr:row>
      <xdr:rowOff>28575</xdr:rowOff>
    </xdr:from>
    <xdr:to>
      <xdr:col>19</xdr:col>
      <xdr:colOff>142875</xdr:colOff>
      <xdr:row>37</xdr:row>
      <xdr:rowOff>19050</xdr:rowOff>
    </xdr:to>
    <xdr:graphicFrame macro="">
      <xdr:nvGraphicFramePr>
        <xdr:cNvPr id="67" name="Graphique 66">
          <a:extLst>
            <a:ext uri="{FF2B5EF4-FFF2-40B4-BE49-F238E27FC236}">
              <a16:creationId xmlns:a16="http://schemas.microsoft.com/office/drawing/2014/main" id="{881DDB4F-B60E-4CC8-9F9D-73B58B6CB9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</xdr:col>
      <xdr:colOff>295275</xdr:colOff>
      <xdr:row>19</xdr:row>
      <xdr:rowOff>28575</xdr:rowOff>
    </xdr:from>
    <xdr:to>
      <xdr:col>8</xdr:col>
      <xdr:colOff>130969</xdr:colOff>
      <xdr:row>26</xdr:row>
      <xdr:rowOff>166687</xdr:rowOff>
    </xdr:to>
    <xdr:graphicFrame macro="">
      <xdr:nvGraphicFramePr>
        <xdr:cNvPr id="68" name="Graphique 67">
          <a:extLst>
            <a:ext uri="{FF2B5EF4-FFF2-40B4-BE49-F238E27FC236}">
              <a16:creationId xmlns:a16="http://schemas.microsoft.com/office/drawing/2014/main" id="{6F07E7F7-F2CB-472E-9CB4-9EF3BA45B4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3</xdr:col>
      <xdr:colOff>404812</xdr:colOff>
      <xdr:row>32</xdr:row>
      <xdr:rowOff>161925</xdr:rowOff>
    </xdr:from>
    <xdr:ext cx="1409700" cy="264560"/>
    <xdr:sp macro="" textlink="Traitement!D72">
      <xdr:nvSpPr>
        <xdr:cNvPr id="69" name="ZoneTexte 68">
          <a:extLst>
            <a:ext uri="{FF2B5EF4-FFF2-40B4-BE49-F238E27FC236}">
              <a16:creationId xmlns:a16="http://schemas.microsoft.com/office/drawing/2014/main" id="{1DB7C3C3-E121-4A5C-80C7-1CA217306B86}"/>
            </a:ext>
          </a:extLst>
        </xdr:cNvPr>
        <xdr:cNvSpPr txBox="1"/>
      </xdr:nvSpPr>
      <xdr:spPr>
        <a:xfrm>
          <a:off x="2690812" y="6067425"/>
          <a:ext cx="14097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842FF1E2-626D-4F23-8621-C09186F2E7E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A50</a:t>
          </a:fld>
          <a:endParaRPr lang="en-US" sz="110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3</xdr:col>
      <xdr:colOff>404812</xdr:colOff>
      <xdr:row>34</xdr:row>
      <xdr:rowOff>180975</xdr:rowOff>
    </xdr:from>
    <xdr:ext cx="1409700" cy="264560"/>
    <xdr:sp macro="" textlink="Traitement!D73">
      <xdr:nvSpPr>
        <xdr:cNvPr id="70" name="ZoneTexte 69">
          <a:extLst>
            <a:ext uri="{FF2B5EF4-FFF2-40B4-BE49-F238E27FC236}">
              <a16:creationId xmlns:a16="http://schemas.microsoft.com/office/drawing/2014/main" id="{0C18ADAE-C9E9-45EF-996F-80E6C10C73EA}"/>
            </a:ext>
          </a:extLst>
        </xdr:cNvPr>
        <xdr:cNvSpPr txBox="1"/>
      </xdr:nvSpPr>
      <xdr:spPr>
        <a:xfrm>
          <a:off x="2690812" y="6467475"/>
          <a:ext cx="14097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8B7E2BC3-25DD-4725-8E88-67595E3A8AD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S8</a:t>
          </a:fld>
          <a:endParaRPr lang="en-US" sz="110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twoCellAnchor>
    <xdr:from>
      <xdr:col>5</xdr:col>
      <xdr:colOff>504825</xdr:colOff>
      <xdr:row>32</xdr:row>
      <xdr:rowOff>184668</xdr:rowOff>
    </xdr:from>
    <xdr:to>
      <xdr:col>8</xdr:col>
      <xdr:colOff>314325</xdr:colOff>
      <xdr:row>34</xdr:row>
      <xdr:rowOff>22743</xdr:rowOff>
    </xdr:to>
    <xdr:sp macro="" textlink="Traitement!F72">
      <xdr:nvSpPr>
        <xdr:cNvPr id="71" name="Rectangle : coins arrondis 70">
          <a:extLst>
            <a:ext uri="{FF2B5EF4-FFF2-40B4-BE49-F238E27FC236}">
              <a16:creationId xmlns:a16="http://schemas.microsoft.com/office/drawing/2014/main" id="{869A5D35-1FA0-4B9B-8B2A-C356632FEACC}"/>
            </a:ext>
          </a:extLst>
        </xdr:cNvPr>
        <xdr:cNvSpPr/>
      </xdr:nvSpPr>
      <xdr:spPr>
        <a:xfrm>
          <a:off x="4314825" y="6090168"/>
          <a:ext cx="2095500" cy="21907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F67F9F-CCF9-452D-9599-DBDE48D346CF}" type="TxLink">
            <a:rPr lang="en-US" sz="1100" b="0" i="0" u="none" strike="noStrike">
              <a:solidFill>
                <a:schemeClr val="accent4">
                  <a:lumMod val="75000"/>
                </a:schemeClr>
              </a:solidFill>
              <a:latin typeface="Calibri"/>
              <a:cs typeface="Calibri"/>
            </a:rPr>
            <a:pPr algn="ctr"/>
            <a:t>Stock Non disponible</a:t>
          </a:fld>
          <a:endParaRPr lang="en-US" sz="1100">
            <a:solidFill>
              <a:schemeClr val="accent4">
                <a:lumMod val="75000"/>
              </a:schemeClr>
            </a:solidFill>
          </a:endParaRPr>
        </a:p>
      </xdr:txBody>
    </xdr:sp>
    <xdr:clientData/>
  </xdr:twoCellAnchor>
  <xdr:twoCellAnchor>
    <xdr:from>
      <xdr:col>5</xdr:col>
      <xdr:colOff>485775</xdr:colOff>
      <xdr:row>35</xdr:row>
      <xdr:rowOff>13218</xdr:rowOff>
    </xdr:from>
    <xdr:to>
      <xdr:col>8</xdr:col>
      <xdr:colOff>295275</xdr:colOff>
      <xdr:row>36</xdr:row>
      <xdr:rowOff>41793</xdr:rowOff>
    </xdr:to>
    <xdr:sp macro="" textlink="Traitement!F73">
      <xdr:nvSpPr>
        <xdr:cNvPr id="72" name="Rectangle : coins arrondis 71">
          <a:extLst>
            <a:ext uri="{FF2B5EF4-FFF2-40B4-BE49-F238E27FC236}">
              <a16:creationId xmlns:a16="http://schemas.microsoft.com/office/drawing/2014/main" id="{733EB165-6335-4911-B438-9145EDA82454}"/>
            </a:ext>
          </a:extLst>
        </xdr:cNvPr>
        <xdr:cNvSpPr/>
      </xdr:nvSpPr>
      <xdr:spPr>
        <a:xfrm>
          <a:off x="4295775" y="6490218"/>
          <a:ext cx="2095500" cy="21907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29FC7C65-C7A7-48F6-A51F-8F24350B17F1}" type="TxLink">
            <a:rPr lang="en-US" sz="1100" b="0" i="0" u="none" strike="noStrike">
              <a:solidFill>
                <a:schemeClr val="accent4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stock faible</a:t>
          </a:fld>
          <a:endParaRPr lang="en-US" sz="1100" b="0" i="0" u="none" strike="noStrike">
            <a:solidFill>
              <a:schemeClr val="accent4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oneCellAnchor>
    <xdr:from>
      <xdr:col>3</xdr:col>
      <xdr:colOff>452437</xdr:colOff>
      <xdr:row>28</xdr:row>
      <xdr:rowOff>0</xdr:rowOff>
    </xdr:from>
    <xdr:ext cx="2147888" cy="254493"/>
    <xdr:sp macro="" textlink="Traitement!D72">
      <xdr:nvSpPr>
        <xdr:cNvPr id="73" name="ZoneTexte 72">
          <a:extLst>
            <a:ext uri="{FF2B5EF4-FFF2-40B4-BE49-F238E27FC236}">
              <a16:creationId xmlns:a16="http://schemas.microsoft.com/office/drawing/2014/main" id="{88951D33-82B9-432A-BAE3-C89626F4E754}"/>
            </a:ext>
          </a:extLst>
        </xdr:cNvPr>
        <xdr:cNvSpPr txBox="1"/>
      </xdr:nvSpPr>
      <xdr:spPr>
        <a:xfrm>
          <a:off x="2738437" y="5143500"/>
          <a:ext cx="2147888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Marchandise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à Approvisionner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twoCellAnchor editAs="oneCell">
    <xdr:from>
      <xdr:col>0</xdr:col>
      <xdr:colOff>38100</xdr:colOff>
      <xdr:row>16</xdr:row>
      <xdr:rowOff>47625</xdr:rowOff>
    </xdr:from>
    <xdr:to>
      <xdr:col>2</xdr:col>
      <xdr:colOff>733425</xdr:colOff>
      <xdr:row>21</xdr:row>
      <xdr:rowOff>114300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75" name="Référence 2">
              <a:extLst>
                <a:ext uri="{FF2B5EF4-FFF2-40B4-BE49-F238E27FC236}">
                  <a16:creationId xmlns:a16="http://schemas.microsoft.com/office/drawing/2014/main" id="{D6855733-70B8-4404-9793-59352A2422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éférence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0" y="3095625"/>
              <a:ext cx="2219325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oneCellAnchor>
    <xdr:from>
      <xdr:col>3</xdr:col>
      <xdr:colOff>471487</xdr:colOff>
      <xdr:row>17</xdr:row>
      <xdr:rowOff>66675</xdr:rowOff>
    </xdr:from>
    <xdr:ext cx="2147888" cy="254493"/>
    <xdr:sp macro="" textlink="Traitement!D72">
      <xdr:nvSpPr>
        <xdr:cNvPr id="62" name="ZoneTexte 61">
          <a:extLst>
            <a:ext uri="{FF2B5EF4-FFF2-40B4-BE49-F238E27FC236}">
              <a16:creationId xmlns:a16="http://schemas.microsoft.com/office/drawing/2014/main" id="{14EC8781-1E63-4AE9-8815-88734E36F7CA}"/>
            </a:ext>
          </a:extLst>
        </xdr:cNvPr>
        <xdr:cNvSpPr txBox="1"/>
      </xdr:nvSpPr>
      <xdr:spPr>
        <a:xfrm>
          <a:off x="2757487" y="3114675"/>
          <a:ext cx="2147888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>
              <a:solidFill>
                <a:srgbClr val="51459E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Top</a:t>
          </a:r>
          <a:r>
            <a:rPr lang="en-US" sz="1100" b="1" baseline="0">
              <a:solidFill>
                <a:srgbClr val="51459E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3 Marchandise</a:t>
          </a:r>
          <a:endParaRPr lang="en-US" sz="1100" b="1">
            <a:solidFill>
              <a:srgbClr val="51459E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twoCellAnchor editAs="oneCell">
    <xdr:from>
      <xdr:col>0</xdr:col>
      <xdr:colOff>19051</xdr:colOff>
      <xdr:row>12</xdr:row>
      <xdr:rowOff>133351</xdr:rowOff>
    </xdr:from>
    <xdr:to>
      <xdr:col>2</xdr:col>
      <xdr:colOff>571501</xdr:colOff>
      <xdr:row>16</xdr:row>
      <xdr:rowOff>76199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3" name="Catégorie 1">
              <a:extLst>
                <a:ext uri="{FF2B5EF4-FFF2-40B4-BE49-F238E27FC236}">
                  <a16:creationId xmlns:a16="http://schemas.microsoft.com/office/drawing/2014/main" id="{98144DDD-B56B-4F3A-838C-68582DF3BD8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1" y="2419351"/>
              <a:ext cx="2076450" cy="70484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9</xdr:row>
      <xdr:rowOff>38100</xdr:rowOff>
    </xdr:from>
    <xdr:to>
      <xdr:col>2</xdr:col>
      <xdr:colOff>590551</xdr:colOff>
      <xdr:row>12</xdr:row>
      <xdr:rowOff>161923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4" name="Mois 1">
              <a:extLst>
                <a:ext uri="{FF2B5EF4-FFF2-40B4-BE49-F238E27FC236}">
                  <a16:creationId xmlns:a16="http://schemas.microsoft.com/office/drawing/2014/main" id="{CBDC61AA-FD08-4B69-8321-5179309998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752600"/>
              <a:ext cx="2114551" cy="6953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38100</xdr:colOff>
      <xdr:row>12</xdr:row>
      <xdr:rowOff>28574</xdr:rowOff>
    </xdr:from>
    <xdr:to>
      <xdr:col>3</xdr:col>
      <xdr:colOff>9525</xdr:colOff>
      <xdr:row>12</xdr:row>
      <xdr:rowOff>47625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E6F9C56B-1572-4C71-9F9A-E72E3F590AFC}"/>
            </a:ext>
          </a:extLst>
        </xdr:cNvPr>
        <xdr:cNvCxnSpPr/>
      </xdr:nvCxnSpPr>
      <xdr:spPr>
        <a:xfrm flipV="1">
          <a:off x="38100" y="2124074"/>
          <a:ext cx="2257425" cy="19051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15</xdr:row>
      <xdr:rowOff>142874</xdr:rowOff>
    </xdr:from>
    <xdr:to>
      <xdr:col>2</xdr:col>
      <xdr:colOff>742950</xdr:colOff>
      <xdr:row>15</xdr:row>
      <xdr:rowOff>161925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CAE44352-3556-4778-A7D9-EA73C69DCA18}"/>
            </a:ext>
          </a:extLst>
        </xdr:cNvPr>
        <xdr:cNvCxnSpPr/>
      </xdr:nvCxnSpPr>
      <xdr:spPr>
        <a:xfrm flipV="1">
          <a:off x="9525" y="2809874"/>
          <a:ext cx="2257425" cy="19051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38101</xdr:colOff>
      <xdr:row>1</xdr:row>
      <xdr:rowOff>104775</xdr:rowOff>
    </xdr:from>
    <xdr:to>
      <xdr:col>0</xdr:col>
      <xdr:colOff>516451</xdr:colOff>
      <xdr:row>3</xdr:row>
      <xdr:rowOff>177142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B519B838-4A2F-4971-B61C-BA4F964D1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104775"/>
          <a:ext cx="478350" cy="453367"/>
        </a:xfrm>
        <a:prstGeom prst="rect">
          <a:avLst/>
        </a:prstGeom>
      </xdr:spPr>
    </xdr:pic>
    <xdr:clientData/>
  </xdr:twoCellAnchor>
  <xdr:oneCellAnchor>
    <xdr:from>
      <xdr:col>0</xdr:col>
      <xdr:colOff>476249</xdr:colOff>
      <xdr:row>1</xdr:row>
      <xdr:rowOff>96450</xdr:rowOff>
    </xdr:from>
    <xdr:ext cx="1343025" cy="236925"/>
    <xdr:sp macro="" textlink="">
      <xdr:nvSpPr>
        <xdr:cNvPr id="77" name="ZoneTexte 76">
          <a:extLst>
            <a:ext uri="{FF2B5EF4-FFF2-40B4-BE49-F238E27FC236}">
              <a16:creationId xmlns:a16="http://schemas.microsoft.com/office/drawing/2014/main" id="{36B9BDA5-48E8-46C9-B7B4-C441B518DF02}"/>
            </a:ext>
          </a:extLst>
        </xdr:cNvPr>
        <xdr:cNvSpPr txBox="1"/>
      </xdr:nvSpPr>
      <xdr:spPr>
        <a:xfrm>
          <a:off x="476249" y="96450"/>
          <a:ext cx="1343025" cy="2369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Marchandise</a:t>
          </a:r>
        </a:p>
      </xdr:txBody>
    </xdr:sp>
    <xdr:clientData/>
  </xdr:oneCellAnchor>
  <xdr:oneCellAnchor>
    <xdr:from>
      <xdr:col>0</xdr:col>
      <xdr:colOff>495299</xdr:colOff>
      <xdr:row>2</xdr:row>
      <xdr:rowOff>86925</xdr:rowOff>
    </xdr:from>
    <xdr:ext cx="1343025" cy="236925"/>
    <xdr:sp macro="" textlink="">
      <xdr:nvSpPr>
        <xdr:cNvPr id="78" name="ZoneTexte 77">
          <a:extLst>
            <a:ext uri="{FF2B5EF4-FFF2-40B4-BE49-F238E27FC236}">
              <a16:creationId xmlns:a16="http://schemas.microsoft.com/office/drawing/2014/main" id="{292C3EBE-1052-42FB-8463-909D458EE754}"/>
            </a:ext>
          </a:extLst>
        </xdr:cNvPr>
        <xdr:cNvSpPr txBox="1"/>
      </xdr:nvSpPr>
      <xdr:spPr>
        <a:xfrm>
          <a:off x="495299" y="277425"/>
          <a:ext cx="1343025" cy="2369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US" sz="1100" b="0">
              <a:solidFill>
                <a:schemeClr val="bg1">
                  <a:lumMod val="6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Gestion Stock</a:t>
          </a:r>
        </a:p>
      </xdr:txBody>
    </xdr:sp>
    <xdr:clientData/>
  </xdr:oneCellAnchor>
  <xdr:oneCellAnchor>
    <xdr:from>
      <xdr:col>0</xdr:col>
      <xdr:colOff>38100</xdr:colOff>
      <xdr:row>4</xdr:row>
      <xdr:rowOff>29775</xdr:rowOff>
    </xdr:from>
    <xdr:ext cx="2152650" cy="236925"/>
    <xdr:sp macro="" textlink="">
      <xdr:nvSpPr>
        <xdr:cNvPr id="79" name="ZoneTexte 78">
          <a:extLst>
            <a:ext uri="{FF2B5EF4-FFF2-40B4-BE49-F238E27FC236}">
              <a16:creationId xmlns:a16="http://schemas.microsoft.com/office/drawing/2014/main" id="{A49C227E-8AA4-40D0-9D15-A64AC5A38EEF}"/>
            </a:ext>
          </a:extLst>
        </xdr:cNvPr>
        <xdr:cNvSpPr txBox="1"/>
      </xdr:nvSpPr>
      <xdr:spPr>
        <a:xfrm>
          <a:off x="38100" y="601275"/>
          <a:ext cx="2152650" cy="2369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Tableau de Bord</a:t>
          </a:r>
        </a:p>
      </xdr:txBody>
    </xdr:sp>
    <xdr:clientData/>
  </xdr:oneCellAnchor>
  <xdr:oneCellAnchor>
    <xdr:from>
      <xdr:col>0</xdr:col>
      <xdr:colOff>447674</xdr:colOff>
      <xdr:row>6</xdr:row>
      <xdr:rowOff>1200</xdr:rowOff>
    </xdr:from>
    <xdr:ext cx="1314451" cy="236925"/>
    <xdr:sp macro="[0]!versoperation" textlink="">
      <xdr:nvSpPr>
        <xdr:cNvPr id="80" name="ZoneTexte 79">
          <a:extLst>
            <a:ext uri="{FF2B5EF4-FFF2-40B4-BE49-F238E27FC236}">
              <a16:creationId xmlns:a16="http://schemas.microsoft.com/office/drawing/2014/main" id="{1D8A6DEC-8CCE-4EF2-B757-7DAF2FFB5AAD}"/>
            </a:ext>
          </a:extLst>
        </xdr:cNvPr>
        <xdr:cNvSpPr txBox="1"/>
      </xdr:nvSpPr>
      <xdr:spPr>
        <a:xfrm>
          <a:off x="447674" y="953700"/>
          <a:ext cx="1314451" cy="2369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US" sz="1100" b="0">
              <a:solidFill>
                <a:schemeClr val="bg1">
                  <a:lumMod val="6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Opération</a:t>
          </a:r>
        </a:p>
      </xdr:txBody>
    </xdr:sp>
    <xdr:clientData/>
  </xdr:oneCellAnchor>
  <xdr:oneCellAnchor>
    <xdr:from>
      <xdr:col>0</xdr:col>
      <xdr:colOff>457199</xdr:colOff>
      <xdr:row>7</xdr:row>
      <xdr:rowOff>96450</xdr:rowOff>
    </xdr:from>
    <xdr:ext cx="1895476" cy="236925"/>
    <xdr:sp macro="[0]!VersIventaire" textlink="">
      <xdr:nvSpPr>
        <xdr:cNvPr id="81" name="ZoneTexte 80">
          <a:extLst>
            <a:ext uri="{FF2B5EF4-FFF2-40B4-BE49-F238E27FC236}">
              <a16:creationId xmlns:a16="http://schemas.microsoft.com/office/drawing/2014/main" id="{7F2A4D9F-31FC-498A-B5C8-84B9F6BB8418}"/>
            </a:ext>
          </a:extLst>
        </xdr:cNvPr>
        <xdr:cNvSpPr txBox="1"/>
      </xdr:nvSpPr>
      <xdr:spPr>
        <a:xfrm>
          <a:off x="457199" y="1239450"/>
          <a:ext cx="1895476" cy="2369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US" sz="1100" b="0">
              <a:solidFill>
                <a:schemeClr val="bg1">
                  <a:lumMod val="6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Iventaire</a:t>
          </a:r>
        </a:p>
      </xdr:txBody>
    </xdr:sp>
    <xdr:clientData/>
  </xdr:oneCellAnchor>
  <xdr:twoCellAnchor editAs="oneCell">
    <xdr:from>
      <xdr:col>0</xdr:col>
      <xdr:colOff>114300</xdr:colOff>
      <xdr:row>4</xdr:row>
      <xdr:rowOff>37488</xdr:rowOff>
    </xdr:from>
    <xdr:to>
      <xdr:col>0</xdr:col>
      <xdr:colOff>400050</xdr:colOff>
      <xdr:row>5</xdr:row>
      <xdr:rowOff>132738</xdr:rowOff>
    </xdr:to>
    <xdr:pic>
      <xdr:nvPicPr>
        <xdr:cNvPr id="21" name="Image 20">
          <a:extLst>
            <a:ext uri="{FF2B5EF4-FFF2-40B4-BE49-F238E27FC236}">
              <a16:creationId xmlns:a16="http://schemas.microsoft.com/office/drawing/2014/main" id="{BFA6C7C6-C0CF-4B9C-8FFF-E916BC46B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608988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0</xdr:col>
      <xdr:colOff>83325</xdr:colOff>
      <xdr:row>7</xdr:row>
      <xdr:rowOff>23775</xdr:rowOff>
    </xdr:from>
    <xdr:to>
      <xdr:col>0</xdr:col>
      <xdr:colOff>390525</xdr:colOff>
      <xdr:row>8</xdr:row>
      <xdr:rowOff>140475</xdr:rowOff>
    </xdr:to>
    <xdr:pic macro="[0]!VersIventaire">
      <xdr:nvPicPr>
        <xdr:cNvPr id="23" name="Image 22">
          <a:extLst>
            <a:ext uri="{FF2B5EF4-FFF2-40B4-BE49-F238E27FC236}">
              <a16:creationId xmlns:a16="http://schemas.microsoft.com/office/drawing/2014/main" id="{9974E3AB-2B17-4B76-816D-BF0A289756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25" y="1166775"/>
          <a:ext cx="307200" cy="307200"/>
        </a:xfrm>
        <a:prstGeom prst="rect">
          <a:avLst/>
        </a:prstGeom>
      </xdr:spPr>
    </xdr:pic>
    <xdr:clientData/>
  </xdr:twoCellAnchor>
  <xdr:twoCellAnchor editAs="oneCell">
    <xdr:from>
      <xdr:col>0</xdr:col>
      <xdr:colOff>29901</xdr:colOff>
      <xdr:row>5</xdr:row>
      <xdr:rowOff>163503</xdr:rowOff>
    </xdr:from>
    <xdr:to>
      <xdr:col>0</xdr:col>
      <xdr:colOff>420789</xdr:colOff>
      <xdr:row>7</xdr:row>
      <xdr:rowOff>28578</xdr:rowOff>
    </xdr:to>
    <xdr:pic macro="[0]!versoperation">
      <xdr:nvPicPr>
        <xdr:cNvPr id="37" name="Image 36">
          <a:extLst>
            <a:ext uri="{FF2B5EF4-FFF2-40B4-BE49-F238E27FC236}">
              <a16:creationId xmlns:a16="http://schemas.microsoft.com/office/drawing/2014/main" id="{C110DBA4-8242-4257-946A-EC3DE8BA3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102307" y="853097"/>
          <a:ext cx="246075" cy="390888"/>
        </a:xfrm>
        <a:prstGeom prst="rect">
          <a:avLst/>
        </a:prstGeom>
      </xdr:spPr>
    </xdr:pic>
    <xdr:clientData/>
  </xdr:twoCellAnchor>
  <xdr:twoCellAnchor editAs="oneCell">
    <xdr:from>
      <xdr:col>14</xdr:col>
      <xdr:colOff>723900</xdr:colOff>
      <xdr:row>0</xdr:row>
      <xdr:rowOff>9525</xdr:rowOff>
    </xdr:from>
    <xdr:to>
      <xdr:col>15</xdr:col>
      <xdr:colOff>152400</xdr:colOff>
      <xdr:row>1</xdr:row>
      <xdr:rowOff>9525</xdr:rowOff>
    </xdr:to>
    <xdr:pic macro="[0]!actualiser">
      <xdr:nvPicPr>
        <xdr:cNvPr id="39" name="Image 38">
          <a:extLst>
            <a:ext uri="{FF2B5EF4-FFF2-40B4-BE49-F238E27FC236}">
              <a16:creationId xmlns:a16="http://schemas.microsoft.com/office/drawing/2014/main" id="{06FFA949-DCA8-41BA-8380-A46FE22D2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91900" y="9525"/>
          <a:ext cx="190500" cy="190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1190625</xdr:colOff>
      <xdr:row>13</xdr:row>
      <xdr:rowOff>114299</xdr:rowOff>
    </xdr:from>
    <xdr:to>
      <xdr:col>4</xdr:col>
      <xdr:colOff>1924050</xdr:colOff>
      <xdr:row>15</xdr:row>
      <xdr:rowOff>0</xdr:rowOff>
    </xdr:to>
    <xdr:sp macro="[0]!EntréeMarchandis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ECD6A64-E324-4243-8BB2-E83A46B2A451}"/>
            </a:ext>
          </a:extLst>
        </xdr:cNvPr>
        <xdr:cNvSpPr/>
      </xdr:nvSpPr>
      <xdr:spPr>
        <a:xfrm>
          <a:off x="5619750" y="3171824"/>
          <a:ext cx="733425" cy="28575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Entrée</a:t>
          </a:r>
        </a:p>
      </xdr:txBody>
    </xdr:sp>
    <xdr:clientData/>
  </xdr:twoCellAnchor>
  <xdr:twoCellAnchor>
    <xdr:from>
      <xdr:col>4</xdr:col>
      <xdr:colOff>333375</xdr:colOff>
      <xdr:row>13</xdr:row>
      <xdr:rowOff>114300</xdr:rowOff>
    </xdr:from>
    <xdr:to>
      <xdr:col>4</xdr:col>
      <xdr:colOff>1057275</xdr:colOff>
      <xdr:row>15</xdr:row>
      <xdr:rowOff>19050</xdr:rowOff>
    </xdr:to>
    <xdr:sp macro="[0]!SoriteMarchandis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1A7B4C6-6BFC-44DB-B37A-217EE4760E40}"/>
            </a:ext>
          </a:extLst>
        </xdr:cNvPr>
        <xdr:cNvSpPr/>
      </xdr:nvSpPr>
      <xdr:spPr>
        <a:xfrm>
          <a:off x="4762500" y="3171825"/>
          <a:ext cx="72390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Sortie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742949</xdr:colOff>
      <xdr:row>11</xdr:row>
      <xdr:rowOff>104775</xdr:rowOff>
    </xdr:from>
    <xdr:to>
      <xdr:col>6</xdr:col>
      <xdr:colOff>1514474</xdr:colOff>
      <xdr:row>12</xdr:row>
      <xdr:rowOff>171450</xdr:rowOff>
    </xdr:to>
    <xdr:sp macro="[0]!AjoutMarchandis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F68F72-31A2-42DD-97B5-D46B43B91A35}"/>
            </a:ext>
          </a:extLst>
        </xdr:cNvPr>
        <xdr:cNvSpPr/>
      </xdr:nvSpPr>
      <xdr:spPr>
        <a:xfrm>
          <a:off x="7581899" y="2200275"/>
          <a:ext cx="771525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Ajouter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447676</xdr:colOff>
      <xdr:row>19</xdr:row>
      <xdr:rowOff>38100</xdr:rowOff>
    </xdr:from>
    <xdr:to>
      <xdr:col>5</xdr:col>
      <xdr:colOff>142876</xdr:colOff>
      <xdr:row>27</xdr:row>
      <xdr:rowOff>9525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486ACCD-577D-4AAA-8C21-EECC0D6EB8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104775</xdr:colOff>
      <xdr:row>19</xdr:row>
      <xdr:rowOff>9525</xdr:rowOff>
    </xdr:from>
    <xdr:to>
      <xdr:col>7</xdr:col>
      <xdr:colOff>561975</xdr:colOff>
      <xdr:row>26</xdr:row>
      <xdr:rowOff>38100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330A385-8D10-47C8-81FB-EF30F916A6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228600</xdr:colOff>
      <xdr:row>30</xdr:row>
      <xdr:rowOff>0</xdr:rowOff>
    </xdr:from>
    <xdr:to>
      <xdr:col>6</xdr:col>
      <xdr:colOff>533401</xdr:colOff>
      <xdr:row>37</xdr:row>
      <xdr:rowOff>109537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7915A35E-EF33-4FE7-9AD2-E18B5C5109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476251</xdr:colOff>
      <xdr:row>34</xdr:row>
      <xdr:rowOff>123824</xdr:rowOff>
    </xdr:from>
    <xdr:to>
      <xdr:col>8</xdr:col>
      <xdr:colOff>752476</xdr:colOff>
      <xdr:row>42</xdr:row>
      <xdr:rowOff>138111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2DD7A842-F45C-4A8E-BC83-FC5A6859C1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495300</xdr:colOff>
      <xdr:row>43</xdr:row>
      <xdr:rowOff>0</xdr:rowOff>
    </xdr:from>
    <xdr:to>
      <xdr:col>7</xdr:col>
      <xdr:colOff>342900</xdr:colOff>
      <xdr:row>51</xdr:row>
      <xdr:rowOff>80961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3431835A-A450-4046-898F-9361E8E6F3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185737</xdr:colOff>
      <xdr:row>44</xdr:row>
      <xdr:rowOff>57149</xdr:rowOff>
    </xdr:from>
    <xdr:to>
      <xdr:col>9</xdr:col>
      <xdr:colOff>752475</xdr:colOff>
      <xdr:row>50</xdr:row>
      <xdr:rowOff>109536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406C18D4-AB50-4476-93F8-EAA39A8476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481012</xdr:colOff>
      <xdr:row>0</xdr:row>
      <xdr:rowOff>0</xdr:rowOff>
    </xdr:from>
    <xdr:to>
      <xdr:col>21</xdr:col>
      <xdr:colOff>123825</xdr:colOff>
      <xdr:row>11</xdr:row>
      <xdr:rowOff>61912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10E81799-0F00-40D8-B5F7-4748C5E3AB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581025</xdr:colOff>
      <xdr:row>13</xdr:row>
      <xdr:rowOff>180975</xdr:rowOff>
    </xdr:from>
    <xdr:to>
      <xdr:col>20</xdr:col>
      <xdr:colOff>571500</xdr:colOff>
      <xdr:row>22</xdr:row>
      <xdr:rowOff>157161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B235E57-22EB-4061-BE76-E1D685A636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228599</xdr:colOff>
      <xdr:row>8</xdr:row>
      <xdr:rowOff>0</xdr:rowOff>
    </xdr:from>
    <xdr:to>
      <xdr:col>20</xdr:col>
      <xdr:colOff>252411</xdr:colOff>
      <xdr:row>12</xdr:row>
      <xdr:rowOff>176212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15683CE2-ED49-49FB-9745-233E7FCC62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438149</xdr:colOff>
      <xdr:row>10</xdr:row>
      <xdr:rowOff>9524</xdr:rowOff>
    </xdr:from>
    <xdr:to>
      <xdr:col>7</xdr:col>
      <xdr:colOff>652461</xdr:colOff>
      <xdr:row>19</xdr:row>
      <xdr:rowOff>23811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1F86B2A2-4C84-4197-B8B0-AED8D12CB4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333374</xdr:colOff>
      <xdr:row>51</xdr:row>
      <xdr:rowOff>0</xdr:rowOff>
    </xdr:from>
    <xdr:to>
      <xdr:col>6</xdr:col>
      <xdr:colOff>152400</xdr:colOff>
      <xdr:row>58</xdr:row>
      <xdr:rowOff>133349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29DB0BF4-3CF6-4735-AA1D-21521A32AA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6</xdr:col>
      <xdr:colOff>638176</xdr:colOff>
      <xdr:row>22</xdr:row>
      <xdr:rowOff>76201</xdr:rowOff>
    </xdr:from>
    <xdr:to>
      <xdr:col>9</xdr:col>
      <xdr:colOff>9526</xdr:colOff>
      <xdr:row>27</xdr:row>
      <xdr:rowOff>38101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3" name="Référence">
              <a:extLst>
                <a:ext uri="{FF2B5EF4-FFF2-40B4-BE49-F238E27FC236}">
                  <a16:creationId xmlns:a16="http://schemas.microsoft.com/office/drawing/2014/main" id="{8E7A7397-3CB4-447A-B8DA-5DAB075B0CC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éférenc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29451" y="4276726"/>
              <a:ext cx="1676400" cy="914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762000</xdr:colOff>
      <xdr:row>34</xdr:row>
      <xdr:rowOff>76201</xdr:rowOff>
    </xdr:from>
    <xdr:to>
      <xdr:col>9</xdr:col>
      <xdr:colOff>533400</xdr:colOff>
      <xdr:row>37</xdr:row>
      <xdr:rowOff>142875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4" name="Catégorie">
              <a:extLst>
                <a:ext uri="{FF2B5EF4-FFF2-40B4-BE49-F238E27FC236}">
                  <a16:creationId xmlns:a16="http://schemas.microsoft.com/office/drawing/2014/main" id="{DCA5C7A6-845D-46CE-8EAD-342D965FCB7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53275" y="6562726"/>
              <a:ext cx="2076450" cy="6381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38099</xdr:colOff>
      <xdr:row>27</xdr:row>
      <xdr:rowOff>76201</xdr:rowOff>
    </xdr:from>
    <xdr:to>
      <xdr:col>8</xdr:col>
      <xdr:colOff>466724</xdr:colOff>
      <xdr:row>34</xdr:row>
      <xdr:rowOff>28575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5" name="Mois">
              <a:extLst>
                <a:ext uri="{FF2B5EF4-FFF2-40B4-BE49-F238E27FC236}">
                  <a16:creationId xmlns:a16="http://schemas.microsoft.com/office/drawing/2014/main" id="{44DDC06E-3CB2-435A-969E-A7A83B7DB2D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00899" y="5229226"/>
              <a:ext cx="1190625" cy="12858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ulRahmane" refreshedDate="44997.501549768516" backgroundQuery="1" createdVersion="6" refreshedVersion="6" minRefreshableVersion="3" recordCount="0" supportSubquery="1" supportAdvancedDrill="1" xr:uid="{4AAB0554-2850-443A-B37C-E8FBA2C22F73}">
  <cacheSource type="external" connectionId="1"/>
  <cacheFields count="5">
    <cacheField name="[Measures].[Somme de Quantité]" caption="Somme de Quantité" numFmtId="0" hierarchy="31" level="32767"/>
    <cacheField name="[Measures].[Somme de total]" caption="Somme de total" numFmtId="0" hierarchy="33" level="32767"/>
    <cacheField name="[LesRéférences].[Référence].[Référence]" caption="Référence" numFmtId="0" hierarchy="2" level="1">
      <sharedItems containsSemiMixedTypes="0" containsNonDate="0" containsString="0"/>
    </cacheField>
    <cacheField name="[lescatégories].[Catégorie].[Catégorie]" caption="Catégorie" numFmtId="0" level="1">
      <sharedItems containsSemiMixedTypes="0" containsNonDate="0" containsString="0"/>
    </cacheField>
    <cacheField name="[lesMois].[Mois].[Mois]" caption="Mois" numFmtId="0" hierarchy="1" level="1">
      <sharedItems containsSemiMixedTypes="0" containsNonDate="0" containsString="0"/>
    </cacheField>
  </cacheFields>
  <cacheHierarchies count="35">
    <cacheHierarchy uniqueName="[lescatégories].[Catégorie]" caption="Catégorie" attribute="1" defaultMemberUniqueName="[lescatégories].[Catégorie].[All]" allUniqueName="[lescatégories].[Catégorie].[All]" dimensionUniqueName="[lescatégories]" displayFolder="" count="2" memberValueDatatype="130" unbalanced="0">
      <fieldsUsage count="2">
        <fieldUsage x="-1"/>
        <fieldUsage x="3"/>
      </fieldsUsage>
    </cacheHierarchy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4"/>
      </fieldsUsage>
    </cacheHierarchy>
    <cacheHierarchy uniqueName="[LesRéférences].[Référence]" caption="Référence" attribute="1" defaultMemberUniqueName="[LesRéférences].[Référence].[All]" allUniqueName="[LesRéférences].[Référence].[All]" dimensionUniqueName="[LesRéférences]" displayFolder="" count="2" memberValueDatatype="130" unbalanced="0">
      <fieldsUsage count="2">
        <fieldUsage x="-1"/>
        <fieldUsage x="2"/>
      </fieldsUsage>
    </cacheHierarchy>
    <cacheHierarchy uniqueName="[ListeAchat].[Numéro]" caption="Numéro" attribute="1" defaultMemberUniqueName="[ListeAchat].[Numéro].[All]" allUniqueName="[ListeAchat].[Numéro].[All]" dimensionUniqueName="[ListeAchat]" displayFolder="" count="0" memberValueDatatype="20" unbalanced="0"/>
    <cacheHierarchy uniqueName="[ListeAchat].[Date]" caption="Date" attribute="1" time="1" defaultMemberUniqueName="[ListeAchat].[Date].[All]" allUniqueName="[ListeAchat].[Date].[All]" dimensionUniqueName="[ListeAchat]" displayFolder="" count="0" memberValueDatatype="7" unbalanced="0"/>
    <cacheHierarchy uniqueName="[ListeAchat].[Référence]" caption="Référence" attribute="1" defaultMemberUniqueName="[ListeAchat].[Référence].[All]" allUniqueName="[ListeAchat].[Référence].[All]" dimensionUniqueName="[ListeAchat]" displayFolder="" count="0" memberValueDatatype="130" unbalanced="0"/>
    <cacheHierarchy uniqueName="[ListeAchat].[Désignation]" caption="Désignation" attribute="1" defaultMemberUniqueName="[ListeAchat].[Désignation].[All]" allUniqueName="[ListeAchat].[Désignation].[All]" dimensionUniqueName="[ListeAchat]" displayFolder="" count="0" memberValueDatatype="130" unbalanced="0"/>
    <cacheHierarchy uniqueName="[ListeAchat].[Catégorie]" caption="Catégorie" attribute="1" defaultMemberUniqueName="[ListeAchat].[Catégorie].[All]" allUniqueName="[ListeAchat].[Catégorie].[All]" dimensionUniqueName="[ListeAchat]" displayFolder="" count="0" memberValueDatatype="130" unbalanced="0"/>
    <cacheHierarchy uniqueName="[ListeAchat].[Unité]" caption="Unité" attribute="1" defaultMemberUniqueName="[ListeAchat].[Unité].[All]" allUniqueName="[ListeAchat].[Unité].[All]" dimensionUniqueName="[ListeAchat]" displayFolder="" count="0" memberValueDatatype="130" unbalanced="0"/>
    <cacheHierarchy uniqueName="[ListeAchat].[Prix d'achat]" caption="Prix d'achat" attribute="1" defaultMemberUniqueName="[ListeAchat].[Prix d'achat].[All]" allUniqueName="[ListeAchat].[Prix d'achat].[All]" dimensionUniqueName="[ListeAchat]" displayFolder="" count="0" memberValueDatatype="20" unbalanced="0"/>
    <cacheHierarchy uniqueName="[ListeAchat].[Quantité]" caption="Quantité" attribute="1" defaultMemberUniqueName="[ListeAchat].[Quantité].[All]" allUniqueName="[ListeAchat].[Quantité].[All]" dimensionUniqueName="[ListeAchat]" displayFolder="" count="0" memberValueDatatype="20" unbalanced="0"/>
    <cacheHierarchy uniqueName="[ListeAchat].[total]" caption="total" attribute="1" defaultMemberUniqueName="[ListeAchat].[total].[All]" allUniqueName="[ListeAchat].[total].[All]" dimensionUniqueName="[ListeAchat]" displayFolder="" count="0" memberValueDatatype="20" unbalanced="0"/>
    <cacheHierarchy uniqueName="[ListeAchat].[Date (mois)]" caption="Date (mois)" attribute="1" defaultMemberUniqueName="[ListeAchat].[Date (mois)].[All]" allUniqueName="[ListeAchat].[Date (mois)].[All]" dimensionUniqueName="[ListeAchat]" displayFolder="" count="0" memberValueDatatype="130" unbalanced="0"/>
    <cacheHierarchy uniqueName="[ListeVente].[Numéro]" caption="Numéro" attribute="1" defaultMemberUniqueName="[ListeVente].[Numéro].[All]" allUniqueName="[ListeVente].[Numéro].[All]" dimensionUniqueName="[ListeVente]" displayFolder="" count="0" memberValueDatatype="20" unbalanced="0"/>
    <cacheHierarchy uniqueName="[ListeVente].[Date]" caption="Date" attribute="1" time="1" defaultMemberUniqueName="[ListeVente].[Date].[All]" allUniqueName="[ListeVente].[Date].[All]" dimensionUniqueName="[ListeVente]" displayFolder="" count="0" memberValueDatatype="7" unbalanced="0"/>
    <cacheHierarchy uniqueName="[ListeVente].[Référence]" caption="Référence" attribute="1" defaultMemberUniqueName="[ListeVente].[Référence].[All]" allUniqueName="[ListeVente].[Référence].[All]" dimensionUniqueName="[ListeVente]" displayFolder="" count="0" memberValueDatatype="130" unbalanced="0"/>
    <cacheHierarchy uniqueName="[ListeVente].[Désignation]" caption="Désignation" attribute="1" defaultMemberUniqueName="[ListeVente].[Désignation].[All]" allUniqueName="[ListeVente].[Désignation].[All]" dimensionUniqueName="[ListeVente]" displayFolder="" count="0" memberValueDatatype="130" unbalanced="0"/>
    <cacheHierarchy uniqueName="[ListeVente].[Catégorie]" caption="Catégorie" attribute="1" defaultMemberUniqueName="[ListeVente].[Catégorie].[All]" allUniqueName="[ListeVente].[Catégorie].[All]" dimensionUniqueName="[ListeVente]" displayFolder="" count="0" memberValueDatatype="130" unbalanced="0"/>
    <cacheHierarchy uniqueName="[ListeVente].[Unité]" caption="Unité" attribute="1" defaultMemberUniqueName="[ListeVente].[Unité].[All]" allUniqueName="[ListeVente].[Unité].[All]" dimensionUniqueName="[ListeVente]" displayFolder="" count="0" memberValueDatatype="130" unbalanced="0"/>
    <cacheHierarchy uniqueName="[ListeVente].[Prix de Vente]" caption="Prix de Vente" attribute="1" defaultMemberUniqueName="[ListeVente].[Prix de Vente].[All]" allUniqueName="[ListeVente].[Prix de Vente].[All]" dimensionUniqueName="[ListeVente]" displayFolder="" count="0" memberValueDatatype="20" unbalanced="0"/>
    <cacheHierarchy uniqueName="[ListeVente].[Quantité]" caption="Quantité" attribute="1" defaultMemberUniqueName="[ListeVente].[Quantité].[All]" allUniqueName="[ListeVente].[Quantité].[All]" dimensionUniqueName="[ListeVente]" displayFolder="" count="0" memberValueDatatype="20" unbalanced="0"/>
    <cacheHierarchy uniqueName="[ListeVente].[total]" caption="total" attribute="1" defaultMemberUniqueName="[ListeVente].[total].[All]" allUniqueName="[ListeVente].[total].[All]" dimensionUniqueName="[ListeVente]" displayFolder="" count="0" memberValueDatatype="20" unbalanced="0"/>
    <cacheHierarchy uniqueName="[ListeVente].[Date (mois)]" caption="Date (mois)" attribute="1" defaultMemberUniqueName="[ListeVente].[Date (mois)].[All]" allUniqueName="[ListeVente].[Date (mois)].[All]" dimensionUniqueName="[ListeVente]" displayFolder="" count="0" memberValueDatatype="130" unbalanced="0"/>
    <cacheHierarchy uniqueName="[ListeAchat].[Date (index des mois)]" caption="Date (index des mois)" attribute="1" defaultMemberUniqueName="[ListeAchat].[Date (index des mois)].[All]" allUniqueName="[ListeAchat].[Date (index des mois)].[All]" dimensionUniqueName="[ListeAchat]" displayFolder="" count="0" memberValueDatatype="20" unbalanced="0" hidden="1"/>
    <cacheHierarchy uniqueName="[ListeVente].[Date (index des mois)]" caption="Date (index des mois)" attribute="1" defaultMemberUniqueName="[ListeVente].[Date (index des mois)].[All]" allUniqueName="[ListeVente].[Date (index des mois)].[All]" dimensionUniqueName="[ListeVente]" displayFolder="" count="0" memberValueDatatype="20" unbalanced="0" hidden="1"/>
    <cacheHierarchy uniqueName="[Measures].[__XL_Count ListeAchat]" caption="__XL_Count ListeAchat" measure="1" displayFolder="" measureGroup="ListeAchat" count="0" hidden="1"/>
    <cacheHierarchy uniqueName="[Measures].[__XL_Count ListeVente]" caption="__XL_Count ListeVente" measure="1" displayFolder="" measureGroup="ListeVente" count="0" hidden="1"/>
    <cacheHierarchy uniqueName="[Measures].[__XL_Count lescatégories]" caption="__XL_Count lescatégories" measure="1" displayFolder="" measureGroup="lescatégories" count="0" hidden="1"/>
    <cacheHierarchy uniqueName="[Measures].[__XL_Count LesRéférences]" caption="__XL_Count LesRéférences" measure="1" displayFolder="" measureGroup="LesRéfé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uantité 2]" caption="Somme de Quantité 2" measure="1" displayFolder="" measureGroup="ListeVente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e de total]" caption="Somme de total" measure="1" displayFolder="" measureGroup="ListeAcha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</cacheHierarchies>
  <kpis count="0"/>
  <dimensions count="6">
    <dimension name="lescatégories" uniqueName="[lescatégories]" caption="lescatégories"/>
    <dimension name="lesMois" uniqueName="[lesMois]" caption="lesMois"/>
    <dimension name="LesRéférences" uniqueName="[LesRéférences]" caption="LesRéférences"/>
    <dimension name="ListeAchat" uniqueName="[ListeAchat]" caption="ListeAchat"/>
    <dimension name="ListeVente" uniqueName="[ListeVente]" caption="ListeVente"/>
    <dimension measure="1" name="Measures" uniqueName="[Measures]" caption="Measures"/>
  </dimensions>
  <measureGroups count="5">
    <measureGroup name="lescatégories" caption="lescatégories"/>
    <measureGroup name="lesMois" caption="lesMois"/>
    <measureGroup name="LesRéférences" caption="LesRéférences"/>
    <measureGroup name="ListeAchat" caption="ListeAchat"/>
    <measureGroup name="ListeVente" caption="ListeVente"/>
  </measureGroups>
  <maps count="11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0"/>
    <map measureGroup="4" dimension="1"/>
    <map measureGroup="4" dimension="2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ulRahmane" refreshedDate="44997.501553819442" backgroundQuery="1" createdVersion="6" refreshedVersion="6" minRefreshableVersion="3" recordCount="0" supportSubquery="1" supportAdvancedDrill="1" xr:uid="{7FAF0B23-AE18-423D-85FD-7F8671E0E27F}">
  <cacheSource type="external" connectionId="1"/>
  <cacheFields count="5">
    <cacheField name="[Measures].[Somme de Quantité 2]" caption="Somme de Quantité 2" numFmtId="0" hierarchy="32" level="32767"/>
    <cacheField name="[Measures].[Somme de total 2]" caption="Somme de total 2" numFmtId="0" hierarchy="34" level="32767"/>
    <cacheField name="[LesRéférences].[Référence].[Référence]" caption="Référence" numFmtId="0" hierarchy="2" level="1">
      <sharedItems containsSemiMixedTypes="0" containsNonDate="0" containsString="0"/>
    </cacheField>
    <cacheField name="[lescatégories].[Catégorie].[Catégorie]" caption="Catégorie" numFmtId="0" level="1">
      <sharedItems containsSemiMixedTypes="0" containsNonDate="0" containsString="0"/>
    </cacheField>
    <cacheField name="[lesMois].[Mois].[Mois]" caption="Mois" numFmtId="0" hierarchy="1" level="1">
      <sharedItems containsSemiMixedTypes="0" containsNonDate="0" containsString="0"/>
    </cacheField>
  </cacheFields>
  <cacheHierarchies count="35">
    <cacheHierarchy uniqueName="[lescatégories].[Catégorie]" caption="Catégorie" attribute="1" defaultMemberUniqueName="[lescatégories].[Catégorie].[All]" allUniqueName="[lescatégories].[Catégorie].[All]" dimensionUniqueName="[lescatégories]" displayFolder="" count="2" memberValueDatatype="130" unbalanced="0">
      <fieldsUsage count="2">
        <fieldUsage x="-1"/>
        <fieldUsage x="3"/>
      </fieldsUsage>
    </cacheHierarchy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4"/>
      </fieldsUsage>
    </cacheHierarchy>
    <cacheHierarchy uniqueName="[LesRéférences].[Référence]" caption="Référence" attribute="1" defaultMemberUniqueName="[LesRéférences].[Référence].[All]" allUniqueName="[LesRéférences].[Référence].[All]" dimensionUniqueName="[LesRéférences]" displayFolder="" count="2" memberValueDatatype="130" unbalanced="0">
      <fieldsUsage count="2">
        <fieldUsage x="-1"/>
        <fieldUsage x="2"/>
      </fieldsUsage>
    </cacheHierarchy>
    <cacheHierarchy uniqueName="[ListeAchat].[Numéro]" caption="Numéro" attribute="1" defaultMemberUniqueName="[ListeAchat].[Numéro].[All]" allUniqueName="[ListeAchat].[Numéro].[All]" dimensionUniqueName="[ListeAchat]" displayFolder="" count="0" memberValueDatatype="20" unbalanced="0"/>
    <cacheHierarchy uniqueName="[ListeAchat].[Date]" caption="Date" attribute="1" time="1" defaultMemberUniqueName="[ListeAchat].[Date].[All]" allUniqueName="[ListeAchat].[Date].[All]" dimensionUniqueName="[ListeAchat]" displayFolder="" count="0" memberValueDatatype="7" unbalanced="0"/>
    <cacheHierarchy uniqueName="[ListeAchat].[Référence]" caption="Référence" attribute="1" defaultMemberUniqueName="[ListeAchat].[Référence].[All]" allUniqueName="[ListeAchat].[Référence].[All]" dimensionUniqueName="[ListeAchat]" displayFolder="" count="0" memberValueDatatype="130" unbalanced="0"/>
    <cacheHierarchy uniqueName="[ListeAchat].[Désignation]" caption="Désignation" attribute="1" defaultMemberUniqueName="[ListeAchat].[Désignation].[All]" allUniqueName="[ListeAchat].[Désignation].[All]" dimensionUniqueName="[ListeAchat]" displayFolder="" count="0" memberValueDatatype="130" unbalanced="0"/>
    <cacheHierarchy uniqueName="[ListeAchat].[Catégorie]" caption="Catégorie" attribute="1" defaultMemberUniqueName="[ListeAchat].[Catégorie].[All]" allUniqueName="[ListeAchat].[Catégorie].[All]" dimensionUniqueName="[ListeAchat]" displayFolder="" count="0" memberValueDatatype="130" unbalanced="0"/>
    <cacheHierarchy uniqueName="[ListeAchat].[Unité]" caption="Unité" attribute="1" defaultMemberUniqueName="[ListeAchat].[Unité].[All]" allUniqueName="[ListeAchat].[Unité].[All]" dimensionUniqueName="[ListeAchat]" displayFolder="" count="0" memberValueDatatype="130" unbalanced="0"/>
    <cacheHierarchy uniqueName="[ListeAchat].[Prix d'achat]" caption="Prix d'achat" attribute="1" defaultMemberUniqueName="[ListeAchat].[Prix d'achat].[All]" allUniqueName="[ListeAchat].[Prix d'achat].[All]" dimensionUniqueName="[ListeAchat]" displayFolder="" count="0" memberValueDatatype="20" unbalanced="0"/>
    <cacheHierarchy uniqueName="[ListeAchat].[Quantité]" caption="Quantité" attribute="1" defaultMemberUniqueName="[ListeAchat].[Quantité].[All]" allUniqueName="[ListeAchat].[Quantité].[All]" dimensionUniqueName="[ListeAchat]" displayFolder="" count="0" memberValueDatatype="20" unbalanced="0"/>
    <cacheHierarchy uniqueName="[ListeAchat].[total]" caption="total" attribute="1" defaultMemberUniqueName="[ListeAchat].[total].[All]" allUniqueName="[ListeAchat].[total].[All]" dimensionUniqueName="[ListeAchat]" displayFolder="" count="0" memberValueDatatype="20" unbalanced="0"/>
    <cacheHierarchy uniqueName="[ListeAchat].[Date (mois)]" caption="Date (mois)" attribute="1" defaultMemberUniqueName="[ListeAchat].[Date (mois)].[All]" allUniqueName="[ListeAchat].[Date (mois)].[All]" dimensionUniqueName="[ListeAchat]" displayFolder="" count="0" memberValueDatatype="130" unbalanced="0"/>
    <cacheHierarchy uniqueName="[ListeVente].[Numéro]" caption="Numéro" attribute="1" defaultMemberUniqueName="[ListeVente].[Numéro].[All]" allUniqueName="[ListeVente].[Numéro].[All]" dimensionUniqueName="[ListeVente]" displayFolder="" count="0" memberValueDatatype="20" unbalanced="0"/>
    <cacheHierarchy uniqueName="[ListeVente].[Date]" caption="Date" attribute="1" time="1" defaultMemberUniqueName="[ListeVente].[Date].[All]" allUniqueName="[ListeVente].[Date].[All]" dimensionUniqueName="[ListeVente]" displayFolder="" count="0" memberValueDatatype="7" unbalanced="0"/>
    <cacheHierarchy uniqueName="[ListeVente].[Référence]" caption="Référence" attribute="1" defaultMemberUniqueName="[ListeVente].[Référence].[All]" allUniqueName="[ListeVente].[Référence].[All]" dimensionUniqueName="[ListeVente]" displayFolder="" count="0" memberValueDatatype="130" unbalanced="0"/>
    <cacheHierarchy uniqueName="[ListeVente].[Désignation]" caption="Désignation" attribute="1" defaultMemberUniqueName="[ListeVente].[Désignation].[All]" allUniqueName="[ListeVente].[Désignation].[All]" dimensionUniqueName="[ListeVente]" displayFolder="" count="0" memberValueDatatype="130" unbalanced="0"/>
    <cacheHierarchy uniqueName="[ListeVente].[Catégorie]" caption="Catégorie" attribute="1" defaultMemberUniqueName="[ListeVente].[Catégorie].[All]" allUniqueName="[ListeVente].[Catégorie].[All]" dimensionUniqueName="[ListeVente]" displayFolder="" count="0" memberValueDatatype="130" unbalanced="0"/>
    <cacheHierarchy uniqueName="[ListeVente].[Unité]" caption="Unité" attribute="1" defaultMemberUniqueName="[ListeVente].[Unité].[All]" allUniqueName="[ListeVente].[Unité].[All]" dimensionUniqueName="[ListeVente]" displayFolder="" count="0" memberValueDatatype="130" unbalanced="0"/>
    <cacheHierarchy uniqueName="[ListeVente].[Prix de Vente]" caption="Prix de Vente" attribute="1" defaultMemberUniqueName="[ListeVente].[Prix de Vente].[All]" allUniqueName="[ListeVente].[Prix de Vente].[All]" dimensionUniqueName="[ListeVente]" displayFolder="" count="0" memberValueDatatype="20" unbalanced="0"/>
    <cacheHierarchy uniqueName="[ListeVente].[Quantité]" caption="Quantité" attribute="1" defaultMemberUniqueName="[ListeVente].[Quantité].[All]" allUniqueName="[ListeVente].[Quantité].[All]" dimensionUniqueName="[ListeVente]" displayFolder="" count="0" memberValueDatatype="20" unbalanced="0"/>
    <cacheHierarchy uniqueName="[ListeVente].[total]" caption="total" attribute="1" defaultMemberUniqueName="[ListeVente].[total].[All]" allUniqueName="[ListeVente].[total].[All]" dimensionUniqueName="[ListeVente]" displayFolder="" count="0" memberValueDatatype="20" unbalanced="0"/>
    <cacheHierarchy uniqueName="[ListeVente].[Date (mois)]" caption="Date (mois)" attribute="1" defaultMemberUniqueName="[ListeVente].[Date (mois)].[All]" allUniqueName="[ListeVente].[Date (mois)].[All]" dimensionUniqueName="[ListeVente]" displayFolder="" count="0" memberValueDatatype="130" unbalanced="0"/>
    <cacheHierarchy uniqueName="[ListeAchat].[Date (index des mois)]" caption="Date (index des mois)" attribute="1" defaultMemberUniqueName="[ListeAchat].[Date (index des mois)].[All]" allUniqueName="[ListeAchat].[Date (index des mois)].[All]" dimensionUniqueName="[ListeAchat]" displayFolder="" count="0" memberValueDatatype="20" unbalanced="0" hidden="1"/>
    <cacheHierarchy uniqueName="[ListeVente].[Date (index des mois)]" caption="Date (index des mois)" attribute="1" defaultMemberUniqueName="[ListeVente].[Date (index des mois)].[All]" allUniqueName="[ListeVente].[Date (index des mois)].[All]" dimensionUniqueName="[ListeVente]" displayFolder="" count="0" memberValueDatatype="20" unbalanced="0" hidden="1"/>
    <cacheHierarchy uniqueName="[Measures].[__XL_Count ListeAchat]" caption="__XL_Count ListeAchat" measure="1" displayFolder="" measureGroup="ListeAchat" count="0" hidden="1"/>
    <cacheHierarchy uniqueName="[Measures].[__XL_Count ListeVente]" caption="__XL_Count ListeVente" measure="1" displayFolder="" measureGroup="ListeVente" count="0" hidden="1"/>
    <cacheHierarchy uniqueName="[Measures].[__XL_Count lescatégories]" caption="__XL_Count lescatégories" measure="1" displayFolder="" measureGroup="lescatégories" count="0" hidden="1"/>
    <cacheHierarchy uniqueName="[Measures].[__XL_Count LesRéférences]" caption="__XL_Count LesRéférences" measure="1" displayFolder="" measureGroup="LesRéfé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uantité 2]" caption="Somme de Quantité 2" measure="1" displayFolder="" measureGroup="ListeVente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e de total]" caption="Somme de total" measure="1" displayFolder="" measureGroup="ListeAchat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</cacheHierarchies>
  <kpis count="0"/>
  <dimensions count="6">
    <dimension name="lescatégories" uniqueName="[lescatégories]" caption="lescatégories"/>
    <dimension name="lesMois" uniqueName="[lesMois]" caption="lesMois"/>
    <dimension name="LesRéférences" uniqueName="[LesRéférences]" caption="LesRéférences"/>
    <dimension name="ListeAchat" uniqueName="[ListeAchat]" caption="ListeAchat"/>
    <dimension name="ListeVente" uniqueName="[ListeVente]" caption="ListeVente"/>
    <dimension measure="1" name="Measures" uniqueName="[Measures]" caption="Measures"/>
  </dimensions>
  <measureGroups count="5">
    <measureGroup name="lescatégories" caption="lescatégories"/>
    <measureGroup name="lesMois" caption="lesMois"/>
    <measureGroup name="LesRéférences" caption="LesRéférences"/>
    <measureGroup name="ListeAchat" caption="ListeAchat"/>
    <measureGroup name="ListeVente" caption="ListeVente"/>
  </measureGroups>
  <maps count="11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0"/>
    <map measureGroup="4" dimension="1"/>
    <map measureGroup="4" dimension="2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ulRahmane" refreshedDate="44997.50155497685" backgroundQuery="1" createdVersion="6" refreshedVersion="6" minRefreshableVersion="3" recordCount="0" supportSubquery="1" supportAdvancedDrill="1" xr:uid="{8A7736E3-F526-422C-82BE-4426073D93A1}">
  <cacheSource type="external" connectionId="1"/>
  <cacheFields count="3">
    <cacheField name="[ListeAchat].[Catégorie].[Catégorie]" caption="Catégorie" numFmtId="0" hierarchy="7" level="1">
      <sharedItems count="2">
        <s v="Smart"/>
        <s v="Smartphone"/>
      </sharedItems>
    </cacheField>
    <cacheField name="[Measures].[Somme de Quantité]" caption="Somme de Quantité" numFmtId="0" hierarchy="31" level="32767"/>
    <cacheField name="[lesMois].[Mois].[Mois]" caption="Mois" numFmtId="0" hierarchy="1" level="1">
      <sharedItems containsSemiMixedTypes="0" containsNonDate="0" containsString="0"/>
    </cacheField>
  </cacheFields>
  <cacheHierarchies count="35">
    <cacheHierarchy uniqueName="[lescatégories].[Catégorie]" caption="Catégorie" attribute="1" defaultMemberUniqueName="[lescatégories].[Catégorie].[All]" allUniqueName="[lescatégories].[Catégorie].[All]" dimensionUniqueName="[lescaté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éférences].[Référence]" caption="Référence" attribute="1" defaultMemberUniqueName="[LesRéférences].[Référence].[All]" allUniqueName="[LesRéférences].[Référence].[All]" dimensionUniqueName="[LesRéférences]" displayFolder="" count="0" memberValueDatatype="130" unbalanced="0"/>
    <cacheHierarchy uniqueName="[ListeAchat].[Numéro]" caption="Numéro" attribute="1" defaultMemberUniqueName="[ListeAchat].[Numéro].[All]" allUniqueName="[ListeAchat].[Numéro].[All]" dimensionUniqueName="[ListeAchat]" displayFolder="" count="0" memberValueDatatype="20" unbalanced="0"/>
    <cacheHierarchy uniqueName="[ListeAchat].[Date]" caption="Date" attribute="1" time="1" defaultMemberUniqueName="[ListeAchat].[Date].[All]" allUniqueName="[ListeAchat].[Date].[All]" dimensionUniqueName="[ListeAchat]" displayFolder="" count="0" memberValueDatatype="7" unbalanced="0"/>
    <cacheHierarchy uniqueName="[ListeAchat].[Référence]" caption="Référence" attribute="1" defaultMemberUniqueName="[ListeAchat].[Référence].[All]" allUniqueName="[ListeAchat].[Référence].[All]" dimensionUniqueName="[ListeAchat]" displayFolder="" count="0" memberValueDatatype="130" unbalanced="0"/>
    <cacheHierarchy uniqueName="[ListeAchat].[Désignation]" caption="Désignation" attribute="1" defaultMemberUniqueName="[ListeAchat].[Désignation].[All]" allUniqueName="[ListeAchat].[Désignation].[All]" dimensionUniqueName="[ListeAchat]" displayFolder="" count="0" memberValueDatatype="130" unbalanced="0"/>
    <cacheHierarchy uniqueName="[ListeAchat].[Catégorie]" caption="Catégorie" attribute="1" defaultMemberUniqueName="[ListeAchat].[Catégorie].[All]" allUniqueName="[ListeAchat].[Catégorie].[All]" dimensionUniqueName="[ListeAchat]" displayFolder="" count="2" memberValueDatatype="130" unbalanced="0">
      <fieldsUsage count="2">
        <fieldUsage x="-1"/>
        <fieldUsage x="0"/>
      </fieldsUsage>
    </cacheHierarchy>
    <cacheHierarchy uniqueName="[ListeAchat].[Unité]" caption="Unité" attribute="1" defaultMemberUniqueName="[ListeAchat].[Unité].[All]" allUniqueName="[ListeAchat].[Unité].[All]" dimensionUniqueName="[ListeAchat]" displayFolder="" count="0" memberValueDatatype="130" unbalanced="0"/>
    <cacheHierarchy uniqueName="[ListeAchat].[Prix d'achat]" caption="Prix d'achat" attribute="1" defaultMemberUniqueName="[ListeAchat].[Prix d'achat].[All]" allUniqueName="[ListeAchat].[Prix d'achat].[All]" dimensionUniqueName="[ListeAchat]" displayFolder="" count="0" memberValueDatatype="20" unbalanced="0"/>
    <cacheHierarchy uniqueName="[ListeAchat].[Quantité]" caption="Quantité" attribute="1" defaultMemberUniqueName="[ListeAchat].[Quantité].[All]" allUniqueName="[ListeAchat].[Quantité].[All]" dimensionUniqueName="[ListeAchat]" displayFolder="" count="0" memberValueDatatype="20" unbalanced="0"/>
    <cacheHierarchy uniqueName="[ListeAchat].[total]" caption="total" attribute="1" defaultMemberUniqueName="[ListeAchat].[total].[All]" allUniqueName="[ListeAchat].[total].[All]" dimensionUniqueName="[ListeAchat]" displayFolder="" count="0" memberValueDatatype="20" unbalanced="0"/>
    <cacheHierarchy uniqueName="[ListeAchat].[Date (mois)]" caption="Date (mois)" attribute="1" defaultMemberUniqueName="[ListeAchat].[Date (mois)].[All]" allUniqueName="[ListeAchat].[Date (mois)].[All]" dimensionUniqueName="[ListeAchat]" displayFolder="" count="0" memberValueDatatype="130" unbalanced="0"/>
    <cacheHierarchy uniqueName="[ListeVente].[Numéro]" caption="Numéro" attribute="1" defaultMemberUniqueName="[ListeVente].[Numéro].[All]" allUniqueName="[ListeVente].[Numéro].[All]" dimensionUniqueName="[ListeVente]" displayFolder="" count="0" memberValueDatatype="20" unbalanced="0"/>
    <cacheHierarchy uniqueName="[ListeVente].[Date]" caption="Date" attribute="1" time="1" defaultMemberUniqueName="[ListeVente].[Date].[All]" allUniqueName="[ListeVente].[Date].[All]" dimensionUniqueName="[ListeVente]" displayFolder="" count="0" memberValueDatatype="7" unbalanced="0"/>
    <cacheHierarchy uniqueName="[ListeVente].[Référence]" caption="Référence" attribute="1" defaultMemberUniqueName="[ListeVente].[Référence].[All]" allUniqueName="[ListeVente].[Référence].[All]" dimensionUniqueName="[ListeVente]" displayFolder="" count="0" memberValueDatatype="130" unbalanced="0"/>
    <cacheHierarchy uniqueName="[ListeVente].[Désignation]" caption="Désignation" attribute="1" defaultMemberUniqueName="[ListeVente].[Désignation].[All]" allUniqueName="[ListeVente].[Désignation].[All]" dimensionUniqueName="[ListeVente]" displayFolder="" count="0" memberValueDatatype="130" unbalanced="0"/>
    <cacheHierarchy uniqueName="[ListeVente].[Catégorie]" caption="Catégorie" attribute="1" defaultMemberUniqueName="[ListeVente].[Catégorie].[All]" allUniqueName="[ListeVente].[Catégorie].[All]" dimensionUniqueName="[ListeVente]" displayFolder="" count="0" memberValueDatatype="130" unbalanced="0"/>
    <cacheHierarchy uniqueName="[ListeVente].[Unité]" caption="Unité" attribute="1" defaultMemberUniqueName="[ListeVente].[Unité].[All]" allUniqueName="[ListeVente].[Unité].[All]" dimensionUniqueName="[ListeVente]" displayFolder="" count="0" memberValueDatatype="130" unbalanced="0"/>
    <cacheHierarchy uniqueName="[ListeVente].[Prix de Vente]" caption="Prix de Vente" attribute="1" defaultMemberUniqueName="[ListeVente].[Prix de Vente].[All]" allUniqueName="[ListeVente].[Prix de Vente].[All]" dimensionUniqueName="[ListeVente]" displayFolder="" count="0" memberValueDatatype="20" unbalanced="0"/>
    <cacheHierarchy uniqueName="[ListeVente].[Quantité]" caption="Quantité" attribute="1" defaultMemberUniqueName="[ListeVente].[Quantité].[All]" allUniqueName="[ListeVente].[Quantité].[All]" dimensionUniqueName="[ListeVente]" displayFolder="" count="0" memberValueDatatype="20" unbalanced="0"/>
    <cacheHierarchy uniqueName="[ListeVente].[total]" caption="total" attribute="1" defaultMemberUniqueName="[ListeVente].[total].[All]" allUniqueName="[ListeVente].[total].[All]" dimensionUniqueName="[ListeVente]" displayFolder="" count="0" memberValueDatatype="20" unbalanced="0"/>
    <cacheHierarchy uniqueName="[ListeVente].[Date (mois)]" caption="Date (mois)" attribute="1" defaultMemberUniqueName="[ListeVente].[Date (mois)].[All]" allUniqueName="[ListeVente].[Date (mois)].[All]" dimensionUniqueName="[ListeVente]" displayFolder="" count="0" memberValueDatatype="130" unbalanced="0"/>
    <cacheHierarchy uniqueName="[ListeAchat].[Date (index des mois)]" caption="Date (index des mois)" attribute="1" defaultMemberUniqueName="[ListeAchat].[Date (index des mois)].[All]" allUniqueName="[ListeAchat].[Date (index des mois)].[All]" dimensionUniqueName="[ListeAchat]" displayFolder="" count="0" memberValueDatatype="20" unbalanced="0" hidden="1"/>
    <cacheHierarchy uniqueName="[ListeVente].[Date (index des mois)]" caption="Date (index des mois)" attribute="1" defaultMemberUniqueName="[ListeVente].[Date (index des mois)].[All]" allUniqueName="[ListeVente].[Date (index des mois)].[All]" dimensionUniqueName="[ListeVente]" displayFolder="" count="0" memberValueDatatype="20" unbalanced="0" hidden="1"/>
    <cacheHierarchy uniqueName="[Measures].[__XL_Count ListeAchat]" caption="__XL_Count ListeAchat" measure="1" displayFolder="" measureGroup="ListeAchat" count="0" hidden="1"/>
    <cacheHierarchy uniqueName="[Measures].[__XL_Count ListeVente]" caption="__XL_Count ListeVente" measure="1" displayFolder="" measureGroup="ListeVente" count="0" hidden="1"/>
    <cacheHierarchy uniqueName="[Measures].[__XL_Count lescatégories]" caption="__XL_Count lescatégories" measure="1" displayFolder="" measureGroup="lescatégories" count="0" hidden="1"/>
    <cacheHierarchy uniqueName="[Measures].[__XL_Count LesRéférences]" caption="__XL_Count LesRéférences" measure="1" displayFolder="" measureGroup="LesRéfé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uantité 2]" caption="Somme de Quantité 2" measure="1" displayFolder="" measureGroup="ListeVente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e de total]" caption="Somme de total" measure="1" displayFolder="" measureGroup="ListeAchat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</cacheHierarchies>
  <kpis count="0"/>
  <dimensions count="6">
    <dimension name="lescatégories" uniqueName="[lescatégories]" caption="lescatégories"/>
    <dimension name="lesMois" uniqueName="[lesMois]" caption="lesMois"/>
    <dimension name="LesRéférences" uniqueName="[LesRéférences]" caption="LesRéférences"/>
    <dimension name="ListeAchat" uniqueName="[ListeAchat]" caption="ListeAchat"/>
    <dimension name="ListeVente" uniqueName="[ListeVente]" caption="ListeVente"/>
    <dimension measure="1" name="Measures" uniqueName="[Measures]" caption="Measures"/>
  </dimensions>
  <measureGroups count="5">
    <measureGroup name="lescatégories" caption="lescatégories"/>
    <measureGroup name="lesMois" caption="lesMois"/>
    <measureGroup name="LesRéférences" caption="LesRéférences"/>
    <measureGroup name="ListeAchat" caption="ListeAchat"/>
    <measureGroup name="ListeVente" caption="ListeVente"/>
  </measureGroups>
  <maps count="11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0"/>
    <map measureGroup="4" dimension="1"/>
    <map measureGroup="4" dimension="2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ulRahmane" refreshedDate="44997.501556134259" backgroundQuery="1" createdVersion="6" refreshedVersion="6" minRefreshableVersion="3" recordCount="0" supportSubquery="1" supportAdvancedDrill="1" xr:uid="{81440D74-22E2-4E78-9125-2CB113895452}">
  <cacheSource type="external" connectionId="1"/>
  <cacheFields count="3">
    <cacheField name="[ListeVente].[Catégorie].[Catégorie]" caption="Catégorie" numFmtId="0" hierarchy="17" level="1">
      <sharedItems count="2">
        <s v="Smart"/>
        <s v="Smartphone"/>
      </sharedItems>
    </cacheField>
    <cacheField name="[Measures].[Somme de Quantité 2]" caption="Somme de Quantité 2" numFmtId="0" hierarchy="32" level="32767"/>
    <cacheField name="[lesMois].[Mois].[Mois]" caption="Mois" numFmtId="0" hierarchy="1" level="1">
      <sharedItems containsSemiMixedTypes="0" containsNonDate="0" containsString="0"/>
    </cacheField>
  </cacheFields>
  <cacheHierarchies count="35">
    <cacheHierarchy uniqueName="[lescatégories].[Catégorie]" caption="Catégorie" attribute="1" defaultMemberUniqueName="[lescatégories].[Catégorie].[All]" allUniqueName="[lescatégories].[Catégorie].[All]" dimensionUniqueName="[lescaté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éférences].[Référence]" caption="Référence" attribute="1" defaultMemberUniqueName="[LesRéférences].[Référence].[All]" allUniqueName="[LesRéférences].[Référence].[All]" dimensionUniqueName="[LesRéférences]" displayFolder="" count="0" memberValueDatatype="130" unbalanced="0"/>
    <cacheHierarchy uniqueName="[ListeAchat].[Numéro]" caption="Numéro" attribute="1" defaultMemberUniqueName="[ListeAchat].[Numéro].[All]" allUniqueName="[ListeAchat].[Numéro].[All]" dimensionUniqueName="[ListeAchat]" displayFolder="" count="0" memberValueDatatype="20" unbalanced="0"/>
    <cacheHierarchy uniqueName="[ListeAchat].[Date]" caption="Date" attribute="1" time="1" defaultMemberUniqueName="[ListeAchat].[Date].[All]" allUniqueName="[ListeAchat].[Date].[All]" dimensionUniqueName="[ListeAchat]" displayFolder="" count="0" memberValueDatatype="7" unbalanced="0"/>
    <cacheHierarchy uniqueName="[ListeAchat].[Référence]" caption="Référence" attribute="1" defaultMemberUniqueName="[ListeAchat].[Référence].[All]" allUniqueName="[ListeAchat].[Référence].[All]" dimensionUniqueName="[ListeAchat]" displayFolder="" count="0" memberValueDatatype="130" unbalanced="0"/>
    <cacheHierarchy uniqueName="[ListeAchat].[Désignation]" caption="Désignation" attribute="1" defaultMemberUniqueName="[ListeAchat].[Désignation].[All]" allUniqueName="[ListeAchat].[Désignation].[All]" dimensionUniqueName="[ListeAchat]" displayFolder="" count="0" memberValueDatatype="130" unbalanced="0"/>
    <cacheHierarchy uniqueName="[ListeAchat].[Catégorie]" caption="Catégorie" attribute="1" defaultMemberUniqueName="[ListeAchat].[Catégorie].[All]" allUniqueName="[ListeAchat].[Catégorie].[All]" dimensionUniqueName="[ListeAchat]" displayFolder="" count="0" memberValueDatatype="130" unbalanced="0"/>
    <cacheHierarchy uniqueName="[ListeAchat].[Unité]" caption="Unité" attribute="1" defaultMemberUniqueName="[ListeAchat].[Unité].[All]" allUniqueName="[ListeAchat].[Unité].[All]" dimensionUniqueName="[ListeAchat]" displayFolder="" count="0" memberValueDatatype="130" unbalanced="0"/>
    <cacheHierarchy uniqueName="[ListeAchat].[Prix d'achat]" caption="Prix d'achat" attribute="1" defaultMemberUniqueName="[ListeAchat].[Prix d'achat].[All]" allUniqueName="[ListeAchat].[Prix d'achat].[All]" dimensionUniqueName="[ListeAchat]" displayFolder="" count="0" memberValueDatatype="20" unbalanced="0"/>
    <cacheHierarchy uniqueName="[ListeAchat].[Quantité]" caption="Quantité" attribute="1" defaultMemberUniqueName="[ListeAchat].[Quantité].[All]" allUniqueName="[ListeAchat].[Quantité].[All]" dimensionUniqueName="[ListeAchat]" displayFolder="" count="0" memberValueDatatype="20" unbalanced="0"/>
    <cacheHierarchy uniqueName="[ListeAchat].[total]" caption="total" attribute="1" defaultMemberUniqueName="[ListeAchat].[total].[All]" allUniqueName="[ListeAchat].[total].[All]" dimensionUniqueName="[ListeAchat]" displayFolder="" count="0" memberValueDatatype="20" unbalanced="0"/>
    <cacheHierarchy uniqueName="[ListeAchat].[Date (mois)]" caption="Date (mois)" attribute="1" defaultMemberUniqueName="[ListeAchat].[Date (mois)].[All]" allUniqueName="[ListeAchat].[Date (mois)].[All]" dimensionUniqueName="[ListeAchat]" displayFolder="" count="0" memberValueDatatype="130" unbalanced="0"/>
    <cacheHierarchy uniqueName="[ListeVente].[Numéro]" caption="Numéro" attribute="1" defaultMemberUniqueName="[ListeVente].[Numéro].[All]" allUniqueName="[ListeVente].[Numéro].[All]" dimensionUniqueName="[ListeVente]" displayFolder="" count="0" memberValueDatatype="20" unbalanced="0"/>
    <cacheHierarchy uniqueName="[ListeVente].[Date]" caption="Date" attribute="1" time="1" defaultMemberUniqueName="[ListeVente].[Date].[All]" allUniqueName="[ListeVente].[Date].[All]" dimensionUniqueName="[ListeVente]" displayFolder="" count="0" memberValueDatatype="7" unbalanced="0"/>
    <cacheHierarchy uniqueName="[ListeVente].[Référence]" caption="Référence" attribute="1" defaultMemberUniqueName="[ListeVente].[Référence].[All]" allUniqueName="[ListeVente].[Référence].[All]" dimensionUniqueName="[ListeVente]" displayFolder="" count="0" memberValueDatatype="130" unbalanced="0"/>
    <cacheHierarchy uniqueName="[ListeVente].[Désignation]" caption="Désignation" attribute="1" defaultMemberUniqueName="[ListeVente].[Désignation].[All]" allUniqueName="[ListeVente].[Désignation].[All]" dimensionUniqueName="[ListeVente]" displayFolder="" count="0" memberValueDatatype="130" unbalanced="0"/>
    <cacheHierarchy uniqueName="[ListeVente].[Catégorie]" caption="Catégorie" attribute="1" defaultMemberUniqueName="[ListeVente].[Catégorie].[All]" allUniqueName="[ListeVente].[Catégorie].[All]" dimensionUniqueName="[ListeVente]" displayFolder="" count="2" memberValueDatatype="130" unbalanced="0">
      <fieldsUsage count="2">
        <fieldUsage x="-1"/>
        <fieldUsage x="0"/>
      </fieldsUsage>
    </cacheHierarchy>
    <cacheHierarchy uniqueName="[ListeVente].[Unité]" caption="Unité" attribute="1" defaultMemberUniqueName="[ListeVente].[Unité].[All]" allUniqueName="[ListeVente].[Unité].[All]" dimensionUniqueName="[ListeVente]" displayFolder="" count="0" memberValueDatatype="130" unbalanced="0"/>
    <cacheHierarchy uniqueName="[ListeVente].[Prix de Vente]" caption="Prix de Vente" attribute="1" defaultMemberUniqueName="[ListeVente].[Prix de Vente].[All]" allUniqueName="[ListeVente].[Prix de Vente].[All]" dimensionUniqueName="[ListeVente]" displayFolder="" count="0" memberValueDatatype="20" unbalanced="0"/>
    <cacheHierarchy uniqueName="[ListeVente].[Quantité]" caption="Quantité" attribute="1" defaultMemberUniqueName="[ListeVente].[Quantité].[All]" allUniqueName="[ListeVente].[Quantité].[All]" dimensionUniqueName="[ListeVente]" displayFolder="" count="0" memberValueDatatype="20" unbalanced="0"/>
    <cacheHierarchy uniqueName="[ListeVente].[total]" caption="total" attribute="1" defaultMemberUniqueName="[ListeVente].[total].[All]" allUniqueName="[ListeVente].[total].[All]" dimensionUniqueName="[ListeVente]" displayFolder="" count="0" memberValueDatatype="20" unbalanced="0"/>
    <cacheHierarchy uniqueName="[ListeVente].[Date (mois)]" caption="Date (mois)" attribute="1" defaultMemberUniqueName="[ListeVente].[Date (mois)].[All]" allUniqueName="[ListeVente].[Date (mois)].[All]" dimensionUniqueName="[ListeVente]" displayFolder="" count="0" memberValueDatatype="130" unbalanced="0"/>
    <cacheHierarchy uniqueName="[ListeAchat].[Date (index des mois)]" caption="Date (index des mois)" attribute="1" defaultMemberUniqueName="[ListeAchat].[Date (index des mois)].[All]" allUniqueName="[ListeAchat].[Date (index des mois)].[All]" dimensionUniqueName="[ListeAchat]" displayFolder="" count="0" memberValueDatatype="20" unbalanced="0" hidden="1"/>
    <cacheHierarchy uniqueName="[ListeVente].[Date (index des mois)]" caption="Date (index des mois)" attribute="1" defaultMemberUniqueName="[ListeVente].[Date (index des mois)].[All]" allUniqueName="[ListeVente].[Date (index des mois)].[All]" dimensionUniqueName="[ListeVente]" displayFolder="" count="0" memberValueDatatype="20" unbalanced="0" hidden="1"/>
    <cacheHierarchy uniqueName="[Measures].[__XL_Count ListeAchat]" caption="__XL_Count ListeAchat" measure="1" displayFolder="" measureGroup="ListeAchat" count="0" hidden="1"/>
    <cacheHierarchy uniqueName="[Measures].[__XL_Count ListeVente]" caption="__XL_Count ListeVente" measure="1" displayFolder="" measureGroup="ListeVente" count="0" hidden="1"/>
    <cacheHierarchy uniqueName="[Measures].[__XL_Count lescatégories]" caption="__XL_Count lescatégories" measure="1" displayFolder="" measureGroup="lescatégories" count="0" hidden="1"/>
    <cacheHierarchy uniqueName="[Measures].[__XL_Count LesRéférences]" caption="__XL_Count LesRéférences" measure="1" displayFolder="" measureGroup="LesRéfé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uantité 2]" caption="Somme de Quantité 2" measure="1" displayFolder="" measureGroup="ListeVent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e de total]" caption="Somme de total" measure="1" displayFolder="" measureGroup="ListeAchat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</cacheHierarchies>
  <kpis count="0"/>
  <dimensions count="6">
    <dimension name="lescatégories" uniqueName="[lescatégories]" caption="lescatégories"/>
    <dimension name="lesMois" uniqueName="[lesMois]" caption="lesMois"/>
    <dimension name="LesRéférences" uniqueName="[LesRéférences]" caption="LesRéférences"/>
    <dimension name="ListeAchat" uniqueName="[ListeAchat]" caption="ListeAchat"/>
    <dimension name="ListeVente" uniqueName="[ListeVente]" caption="ListeVente"/>
    <dimension measure="1" name="Measures" uniqueName="[Measures]" caption="Measures"/>
  </dimensions>
  <measureGroups count="5">
    <measureGroup name="lescatégories" caption="lescatégories"/>
    <measureGroup name="lesMois" caption="lesMois"/>
    <measureGroup name="LesRéférences" caption="LesRéférences"/>
    <measureGroup name="ListeAchat" caption="ListeAchat"/>
    <measureGroup name="ListeVente" caption="ListeVente"/>
  </measureGroups>
  <maps count="11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0"/>
    <map measureGroup="4" dimension="1"/>
    <map measureGroup="4" dimension="2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ulRahmane" refreshedDate="44997.501557291667" backgroundQuery="1" createdVersion="6" refreshedVersion="6" minRefreshableVersion="3" recordCount="0" supportSubquery="1" supportAdvancedDrill="1" xr:uid="{2D37B662-BC5E-45EB-BEC4-467578E8E7C9}">
  <cacheSource type="external" connectionId="1"/>
  <cacheFields count="3">
    <cacheField name="[ListeAchat].[Catégorie].[Catégorie]" caption="Catégorie" numFmtId="0" hierarchy="7" level="1">
      <sharedItems count="2">
        <s v="Smart"/>
        <s v="Smartphone"/>
      </sharedItems>
    </cacheField>
    <cacheField name="[Measures].[Somme de total]" caption="Somme de total" numFmtId="0" hierarchy="33" level="32767"/>
    <cacheField name="[lesMois].[Mois].[Mois]" caption="Mois" numFmtId="0" hierarchy="1" level="1">
      <sharedItems containsSemiMixedTypes="0" containsNonDate="0" containsString="0"/>
    </cacheField>
  </cacheFields>
  <cacheHierarchies count="35">
    <cacheHierarchy uniqueName="[lescatégories].[Catégorie]" caption="Catégorie" attribute="1" defaultMemberUniqueName="[lescatégories].[Catégorie].[All]" allUniqueName="[lescatégories].[Catégorie].[All]" dimensionUniqueName="[lescaté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éférences].[Référence]" caption="Référence" attribute="1" defaultMemberUniqueName="[LesRéférences].[Référence].[All]" allUniqueName="[LesRéférences].[Référence].[All]" dimensionUniqueName="[LesRéférences]" displayFolder="" count="0" memberValueDatatype="130" unbalanced="0"/>
    <cacheHierarchy uniqueName="[ListeAchat].[Numéro]" caption="Numéro" attribute="1" defaultMemberUniqueName="[ListeAchat].[Numéro].[All]" allUniqueName="[ListeAchat].[Numéro].[All]" dimensionUniqueName="[ListeAchat]" displayFolder="" count="0" memberValueDatatype="20" unbalanced="0"/>
    <cacheHierarchy uniqueName="[ListeAchat].[Date]" caption="Date" attribute="1" time="1" defaultMemberUniqueName="[ListeAchat].[Date].[All]" allUniqueName="[ListeAchat].[Date].[All]" dimensionUniqueName="[ListeAchat]" displayFolder="" count="0" memberValueDatatype="7" unbalanced="0"/>
    <cacheHierarchy uniqueName="[ListeAchat].[Référence]" caption="Référence" attribute="1" defaultMemberUniqueName="[ListeAchat].[Référence].[All]" allUniqueName="[ListeAchat].[Référence].[All]" dimensionUniqueName="[ListeAchat]" displayFolder="" count="0" memberValueDatatype="130" unbalanced="0"/>
    <cacheHierarchy uniqueName="[ListeAchat].[Désignation]" caption="Désignation" attribute="1" defaultMemberUniqueName="[ListeAchat].[Désignation].[All]" allUniqueName="[ListeAchat].[Désignation].[All]" dimensionUniqueName="[ListeAchat]" displayFolder="" count="0" memberValueDatatype="130" unbalanced="0"/>
    <cacheHierarchy uniqueName="[ListeAchat].[Catégorie]" caption="Catégorie" attribute="1" defaultMemberUniqueName="[ListeAchat].[Catégorie].[All]" allUniqueName="[ListeAchat].[Catégorie].[All]" dimensionUniqueName="[ListeAchat]" displayFolder="" count="2" memberValueDatatype="130" unbalanced="0">
      <fieldsUsage count="2">
        <fieldUsage x="-1"/>
        <fieldUsage x="0"/>
      </fieldsUsage>
    </cacheHierarchy>
    <cacheHierarchy uniqueName="[ListeAchat].[Unité]" caption="Unité" attribute="1" defaultMemberUniqueName="[ListeAchat].[Unité].[All]" allUniqueName="[ListeAchat].[Unité].[All]" dimensionUniqueName="[ListeAchat]" displayFolder="" count="0" memberValueDatatype="130" unbalanced="0"/>
    <cacheHierarchy uniqueName="[ListeAchat].[Prix d'achat]" caption="Prix d'achat" attribute="1" defaultMemberUniqueName="[ListeAchat].[Prix d'achat].[All]" allUniqueName="[ListeAchat].[Prix d'achat].[All]" dimensionUniqueName="[ListeAchat]" displayFolder="" count="0" memberValueDatatype="20" unbalanced="0"/>
    <cacheHierarchy uniqueName="[ListeAchat].[Quantité]" caption="Quantité" attribute="1" defaultMemberUniqueName="[ListeAchat].[Quantité].[All]" allUniqueName="[ListeAchat].[Quantité].[All]" dimensionUniqueName="[ListeAchat]" displayFolder="" count="0" memberValueDatatype="20" unbalanced="0"/>
    <cacheHierarchy uniqueName="[ListeAchat].[total]" caption="total" attribute="1" defaultMemberUniqueName="[ListeAchat].[total].[All]" allUniqueName="[ListeAchat].[total].[All]" dimensionUniqueName="[ListeAchat]" displayFolder="" count="0" memberValueDatatype="20" unbalanced="0"/>
    <cacheHierarchy uniqueName="[ListeAchat].[Date (mois)]" caption="Date (mois)" attribute="1" defaultMemberUniqueName="[ListeAchat].[Date (mois)].[All]" allUniqueName="[ListeAchat].[Date (mois)].[All]" dimensionUniqueName="[ListeAchat]" displayFolder="" count="0" memberValueDatatype="130" unbalanced="0"/>
    <cacheHierarchy uniqueName="[ListeVente].[Numéro]" caption="Numéro" attribute="1" defaultMemberUniqueName="[ListeVente].[Numéro].[All]" allUniqueName="[ListeVente].[Numéro].[All]" dimensionUniqueName="[ListeVente]" displayFolder="" count="0" memberValueDatatype="20" unbalanced="0"/>
    <cacheHierarchy uniqueName="[ListeVente].[Date]" caption="Date" attribute="1" time="1" defaultMemberUniqueName="[ListeVente].[Date].[All]" allUniqueName="[ListeVente].[Date].[All]" dimensionUniqueName="[ListeVente]" displayFolder="" count="0" memberValueDatatype="7" unbalanced="0"/>
    <cacheHierarchy uniqueName="[ListeVente].[Référence]" caption="Référence" attribute="1" defaultMemberUniqueName="[ListeVente].[Référence].[All]" allUniqueName="[ListeVente].[Référence].[All]" dimensionUniqueName="[ListeVente]" displayFolder="" count="0" memberValueDatatype="130" unbalanced="0"/>
    <cacheHierarchy uniqueName="[ListeVente].[Désignation]" caption="Désignation" attribute="1" defaultMemberUniqueName="[ListeVente].[Désignation].[All]" allUniqueName="[ListeVente].[Désignation].[All]" dimensionUniqueName="[ListeVente]" displayFolder="" count="0" memberValueDatatype="130" unbalanced="0"/>
    <cacheHierarchy uniqueName="[ListeVente].[Catégorie]" caption="Catégorie" attribute="1" defaultMemberUniqueName="[ListeVente].[Catégorie].[All]" allUniqueName="[ListeVente].[Catégorie].[All]" dimensionUniqueName="[ListeVente]" displayFolder="" count="0" memberValueDatatype="130" unbalanced="0"/>
    <cacheHierarchy uniqueName="[ListeVente].[Unité]" caption="Unité" attribute="1" defaultMemberUniqueName="[ListeVente].[Unité].[All]" allUniqueName="[ListeVente].[Unité].[All]" dimensionUniqueName="[ListeVente]" displayFolder="" count="0" memberValueDatatype="130" unbalanced="0"/>
    <cacheHierarchy uniqueName="[ListeVente].[Prix de Vente]" caption="Prix de Vente" attribute="1" defaultMemberUniqueName="[ListeVente].[Prix de Vente].[All]" allUniqueName="[ListeVente].[Prix de Vente].[All]" dimensionUniqueName="[ListeVente]" displayFolder="" count="0" memberValueDatatype="20" unbalanced="0"/>
    <cacheHierarchy uniqueName="[ListeVente].[Quantité]" caption="Quantité" attribute="1" defaultMemberUniqueName="[ListeVente].[Quantité].[All]" allUniqueName="[ListeVente].[Quantité].[All]" dimensionUniqueName="[ListeVente]" displayFolder="" count="0" memberValueDatatype="20" unbalanced="0"/>
    <cacheHierarchy uniqueName="[ListeVente].[total]" caption="total" attribute="1" defaultMemberUniqueName="[ListeVente].[total].[All]" allUniqueName="[ListeVente].[total].[All]" dimensionUniqueName="[ListeVente]" displayFolder="" count="0" memberValueDatatype="20" unbalanced="0"/>
    <cacheHierarchy uniqueName="[ListeVente].[Date (mois)]" caption="Date (mois)" attribute="1" defaultMemberUniqueName="[ListeVente].[Date (mois)].[All]" allUniqueName="[ListeVente].[Date (mois)].[All]" dimensionUniqueName="[ListeVente]" displayFolder="" count="0" memberValueDatatype="130" unbalanced="0"/>
    <cacheHierarchy uniqueName="[ListeAchat].[Date (index des mois)]" caption="Date (index des mois)" attribute="1" defaultMemberUniqueName="[ListeAchat].[Date (index des mois)].[All]" allUniqueName="[ListeAchat].[Date (index des mois)].[All]" dimensionUniqueName="[ListeAchat]" displayFolder="" count="0" memberValueDatatype="20" unbalanced="0" hidden="1"/>
    <cacheHierarchy uniqueName="[ListeVente].[Date (index des mois)]" caption="Date (index des mois)" attribute="1" defaultMemberUniqueName="[ListeVente].[Date (index des mois)].[All]" allUniqueName="[ListeVente].[Date (index des mois)].[All]" dimensionUniqueName="[ListeVente]" displayFolder="" count="0" memberValueDatatype="20" unbalanced="0" hidden="1"/>
    <cacheHierarchy uniqueName="[Measures].[__XL_Count ListeAchat]" caption="__XL_Count ListeAchat" measure="1" displayFolder="" measureGroup="ListeAchat" count="0" hidden="1"/>
    <cacheHierarchy uniqueName="[Measures].[__XL_Count ListeVente]" caption="__XL_Count ListeVente" measure="1" displayFolder="" measureGroup="ListeVente" count="0" hidden="1"/>
    <cacheHierarchy uniqueName="[Measures].[__XL_Count lescatégories]" caption="__XL_Count lescatégories" measure="1" displayFolder="" measureGroup="lescatégories" count="0" hidden="1"/>
    <cacheHierarchy uniqueName="[Measures].[__XL_Count LesRéférences]" caption="__XL_Count LesRéférences" measure="1" displayFolder="" measureGroup="LesRéfé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uantité 2]" caption="Somme de Quantité 2" measure="1" displayFolder="" measureGroup="ListeVente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e de total]" caption="Somme de total" measure="1" displayFolder="" measureGroup="ListeAcha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</cacheHierarchies>
  <kpis count="0"/>
  <dimensions count="6">
    <dimension name="lescatégories" uniqueName="[lescatégories]" caption="lescatégories"/>
    <dimension name="lesMois" uniqueName="[lesMois]" caption="lesMois"/>
    <dimension name="LesRéférences" uniqueName="[LesRéférences]" caption="LesRéférences"/>
    <dimension name="ListeAchat" uniqueName="[ListeAchat]" caption="ListeAchat"/>
    <dimension name="ListeVente" uniqueName="[ListeVente]" caption="ListeVente"/>
    <dimension measure="1" name="Measures" uniqueName="[Measures]" caption="Measures"/>
  </dimensions>
  <measureGroups count="5">
    <measureGroup name="lescatégories" caption="lescatégories"/>
    <measureGroup name="lesMois" caption="lesMois"/>
    <measureGroup name="LesRéférences" caption="LesRéférences"/>
    <measureGroup name="ListeAchat" caption="ListeAchat"/>
    <measureGroup name="ListeVente" caption="ListeVente"/>
  </measureGroups>
  <maps count="11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0"/>
    <map measureGroup="4" dimension="1"/>
    <map measureGroup="4" dimension="2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ulRahmane" refreshedDate="44997.501558796299" backgroundQuery="1" createdVersion="6" refreshedVersion="6" minRefreshableVersion="3" recordCount="0" supportSubquery="1" supportAdvancedDrill="1" xr:uid="{727986F3-B8D7-47ED-8208-52AC38937C21}">
  <cacheSource type="external" connectionId="1"/>
  <cacheFields count="3">
    <cacheField name="[ListeVente].[Catégorie].[Catégorie]" caption="Catégorie" numFmtId="0" hierarchy="17" level="1">
      <sharedItems count="2">
        <s v="Smart"/>
        <s v="Smartphone"/>
      </sharedItems>
    </cacheField>
    <cacheField name="[Measures].[Somme de total 2]" caption="Somme de total 2" numFmtId="0" hierarchy="34" level="32767"/>
    <cacheField name="[lesMois].[Mois].[Mois]" caption="Mois" numFmtId="0" hierarchy="1" level="1">
      <sharedItems containsSemiMixedTypes="0" containsNonDate="0" containsString="0"/>
    </cacheField>
  </cacheFields>
  <cacheHierarchies count="35">
    <cacheHierarchy uniqueName="[lescatégories].[Catégorie]" caption="Catégorie" attribute="1" defaultMemberUniqueName="[lescatégories].[Catégorie].[All]" allUniqueName="[lescatégories].[Catégorie].[All]" dimensionUniqueName="[lescaté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éférences].[Référence]" caption="Référence" attribute="1" defaultMemberUniqueName="[LesRéférences].[Référence].[All]" allUniqueName="[LesRéférences].[Référence].[All]" dimensionUniqueName="[LesRéférences]" displayFolder="" count="0" memberValueDatatype="130" unbalanced="0"/>
    <cacheHierarchy uniqueName="[ListeAchat].[Numéro]" caption="Numéro" attribute="1" defaultMemberUniqueName="[ListeAchat].[Numéro].[All]" allUniqueName="[ListeAchat].[Numéro].[All]" dimensionUniqueName="[ListeAchat]" displayFolder="" count="0" memberValueDatatype="20" unbalanced="0"/>
    <cacheHierarchy uniqueName="[ListeAchat].[Date]" caption="Date" attribute="1" time="1" defaultMemberUniqueName="[ListeAchat].[Date].[All]" allUniqueName="[ListeAchat].[Date].[All]" dimensionUniqueName="[ListeAchat]" displayFolder="" count="0" memberValueDatatype="7" unbalanced="0"/>
    <cacheHierarchy uniqueName="[ListeAchat].[Référence]" caption="Référence" attribute="1" defaultMemberUniqueName="[ListeAchat].[Référence].[All]" allUniqueName="[ListeAchat].[Référence].[All]" dimensionUniqueName="[ListeAchat]" displayFolder="" count="0" memberValueDatatype="130" unbalanced="0"/>
    <cacheHierarchy uniqueName="[ListeAchat].[Désignation]" caption="Désignation" attribute="1" defaultMemberUniqueName="[ListeAchat].[Désignation].[All]" allUniqueName="[ListeAchat].[Désignation].[All]" dimensionUniqueName="[ListeAchat]" displayFolder="" count="0" memberValueDatatype="130" unbalanced="0"/>
    <cacheHierarchy uniqueName="[ListeAchat].[Catégorie]" caption="Catégorie" attribute="1" defaultMemberUniqueName="[ListeAchat].[Catégorie].[All]" allUniqueName="[ListeAchat].[Catégorie].[All]" dimensionUniqueName="[ListeAchat]" displayFolder="" count="0" memberValueDatatype="130" unbalanced="0"/>
    <cacheHierarchy uniqueName="[ListeAchat].[Unité]" caption="Unité" attribute="1" defaultMemberUniqueName="[ListeAchat].[Unité].[All]" allUniqueName="[ListeAchat].[Unité].[All]" dimensionUniqueName="[ListeAchat]" displayFolder="" count="0" memberValueDatatype="130" unbalanced="0"/>
    <cacheHierarchy uniqueName="[ListeAchat].[Prix d'achat]" caption="Prix d'achat" attribute="1" defaultMemberUniqueName="[ListeAchat].[Prix d'achat].[All]" allUniqueName="[ListeAchat].[Prix d'achat].[All]" dimensionUniqueName="[ListeAchat]" displayFolder="" count="0" memberValueDatatype="20" unbalanced="0"/>
    <cacheHierarchy uniqueName="[ListeAchat].[Quantité]" caption="Quantité" attribute="1" defaultMemberUniqueName="[ListeAchat].[Quantité].[All]" allUniqueName="[ListeAchat].[Quantité].[All]" dimensionUniqueName="[ListeAchat]" displayFolder="" count="0" memberValueDatatype="20" unbalanced="0"/>
    <cacheHierarchy uniqueName="[ListeAchat].[total]" caption="total" attribute="1" defaultMemberUniqueName="[ListeAchat].[total].[All]" allUniqueName="[ListeAchat].[total].[All]" dimensionUniqueName="[ListeAchat]" displayFolder="" count="0" memberValueDatatype="20" unbalanced="0"/>
    <cacheHierarchy uniqueName="[ListeAchat].[Date (mois)]" caption="Date (mois)" attribute="1" defaultMemberUniqueName="[ListeAchat].[Date (mois)].[All]" allUniqueName="[ListeAchat].[Date (mois)].[All]" dimensionUniqueName="[ListeAchat]" displayFolder="" count="0" memberValueDatatype="130" unbalanced="0"/>
    <cacheHierarchy uniqueName="[ListeVente].[Numéro]" caption="Numéro" attribute="1" defaultMemberUniqueName="[ListeVente].[Numéro].[All]" allUniqueName="[ListeVente].[Numéro].[All]" dimensionUniqueName="[ListeVente]" displayFolder="" count="0" memberValueDatatype="20" unbalanced="0"/>
    <cacheHierarchy uniqueName="[ListeVente].[Date]" caption="Date" attribute="1" time="1" defaultMemberUniqueName="[ListeVente].[Date].[All]" allUniqueName="[ListeVente].[Date].[All]" dimensionUniqueName="[ListeVente]" displayFolder="" count="0" memberValueDatatype="7" unbalanced="0"/>
    <cacheHierarchy uniqueName="[ListeVente].[Référence]" caption="Référence" attribute="1" defaultMemberUniqueName="[ListeVente].[Référence].[All]" allUniqueName="[ListeVente].[Référence].[All]" dimensionUniqueName="[ListeVente]" displayFolder="" count="0" memberValueDatatype="130" unbalanced="0"/>
    <cacheHierarchy uniqueName="[ListeVente].[Désignation]" caption="Désignation" attribute="1" defaultMemberUniqueName="[ListeVente].[Désignation].[All]" allUniqueName="[ListeVente].[Désignation].[All]" dimensionUniqueName="[ListeVente]" displayFolder="" count="0" memberValueDatatype="130" unbalanced="0"/>
    <cacheHierarchy uniqueName="[ListeVente].[Catégorie]" caption="Catégorie" attribute="1" defaultMemberUniqueName="[ListeVente].[Catégorie].[All]" allUniqueName="[ListeVente].[Catégorie].[All]" dimensionUniqueName="[ListeVente]" displayFolder="" count="2" memberValueDatatype="130" unbalanced="0">
      <fieldsUsage count="2">
        <fieldUsage x="-1"/>
        <fieldUsage x="0"/>
      </fieldsUsage>
    </cacheHierarchy>
    <cacheHierarchy uniqueName="[ListeVente].[Unité]" caption="Unité" attribute="1" defaultMemberUniqueName="[ListeVente].[Unité].[All]" allUniqueName="[ListeVente].[Unité].[All]" dimensionUniqueName="[ListeVente]" displayFolder="" count="0" memberValueDatatype="130" unbalanced="0"/>
    <cacheHierarchy uniqueName="[ListeVente].[Prix de Vente]" caption="Prix de Vente" attribute="1" defaultMemberUniqueName="[ListeVente].[Prix de Vente].[All]" allUniqueName="[ListeVente].[Prix de Vente].[All]" dimensionUniqueName="[ListeVente]" displayFolder="" count="0" memberValueDatatype="20" unbalanced="0"/>
    <cacheHierarchy uniqueName="[ListeVente].[Quantité]" caption="Quantité" attribute="1" defaultMemberUniqueName="[ListeVente].[Quantité].[All]" allUniqueName="[ListeVente].[Quantité].[All]" dimensionUniqueName="[ListeVente]" displayFolder="" count="0" memberValueDatatype="20" unbalanced="0"/>
    <cacheHierarchy uniqueName="[ListeVente].[total]" caption="total" attribute="1" defaultMemberUniqueName="[ListeVente].[total].[All]" allUniqueName="[ListeVente].[total].[All]" dimensionUniqueName="[ListeVente]" displayFolder="" count="0" memberValueDatatype="20" unbalanced="0"/>
    <cacheHierarchy uniqueName="[ListeVente].[Date (mois)]" caption="Date (mois)" attribute="1" defaultMemberUniqueName="[ListeVente].[Date (mois)].[All]" allUniqueName="[ListeVente].[Date (mois)].[All]" dimensionUniqueName="[ListeVente]" displayFolder="" count="0" memberValueDatatype="130" unbalanced="0"/>
    <cacheHierarchy uniqueName="[ListeAchat].[Date (index des mois)]" caption="Date (index des mois)" attribute="1" defaultMemberUniqueName="[ListeAchat].[Date (index des mois)].[All]" allUniqueName="[ListeAchat].[Date (index des mois)].[All]" dimensionUniqueName="[ListeAchat]" displayFolder="" count="0" memberValueDatatype="20" unbalanced="0" hidden="1"/>
    <cacheHierarchy uniqueName="[ListeVente].[Date (index des mois)]" caption="Date (index des mois)" attribute="1" defaultMemberUniqueName="[ListeVente].[Date (index des mois)].[All]" allUniqueName="[ListeVente].[Date (index des mois)].[All]" dimensionUniqueName="[ListeVente]" displayFolder="" count="0" memberValueDatatype="20" unbalanced="0" hidden="1"/>
    <cacheHierarchy uniqueName="[Measures].[__XL_Count ListeAchat]" caption="__XL_Count ListeAchat" measure="1" displayFolder="" measureGroup="ListeAchat" count="0" hidden="1"/>
    <cacheHierarchy uniqueName="[Measures].[__XL_Count ListeVente]" caption="__XL_Count ListeVente" measure="1" displayFolder="" measureGroup="ListeVente" count="0" hidden="1"/>
    <cacheHierarchy uniqueName="[Measures].[__XL_Count lescatégories]" caption="__XL_Count lescatégories" measure="1" displayFolder="" measureGroup="lescatégories" count="0" hidden="1"/>
    <cacheHierarchy uniqueName="[Measures].[__XL_Count LesRéférences]" caption="__XL_Count LesRéférences" measure="1" displayFolder="" measureGroup="LesRéfé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uantité 2]" caption="Somme de Quantité 2" measure="1" displayFolder="" measureGroup="ListeVente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e de total]" caption="Somme de total" measure="1" displayFolder="" measureGroup="ListeAchat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</cacheHierarchies>
  <kpis count="0"/>
  <dimensions count="6">
    <dimension name="lescatégories" uniqueName="[lescatégories]" caption="lescatégories"/>
    <dimension name="lesMois" uniqueName="[lesMois]" caption="lesMois"/>
    <dimension name="LesRéférences" uniqueName="[LesRéférences]" caption="LesRéférences"/>
    <dimension name="ListeAchat" uniqueName="[ListeAchat]" caption="ListeAchat"/>
    <dimension name="ListeVente" uniqueName="[ListeVente]" caption="ListeVente"/>
    <dimension measure="1" name="Measures" uniqueName="[Measures]" caption="Measures"/>
  </dimensions>
  <measureGroups count="5">
    <measureGroup name="lescatégories" caption="lescatégories"/>
    <measureGroup name="lesMois" caption="lesMois"/>
    <measureGroup name="LesRéférences" caption="LesRéférences"/>
    <measureGroup name="ListeAchat" caption="ListeAchat"/>
    <measureGroup name="ListeVente" caption="ListeVente"/>
  </measureGroups>
  <maps count="11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0"/>
    <map measureGroup="4" dimension="1"/>
    <map measureGroup="4" dimension="2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ulRahmane" refreshedDate="44997.501562731479" backgroundQuery="1" createdVersion="6" refreshedVersion="6" minRefreshableVersion="3" recordCount="0" supportSubquery="1" supportAdvancedDrill="1" xr:uid="{59E9D03A-4BE6-4EC5-A4EA-28C2DD547856}">
  <cacheSource type="external" connectionId="1"/>
  <cacheFields count="5">
    <cacheField name="[ListeAchat].[Date].[Date]" caption="Date" numFmtId="0" hierarchy="4" level="1">
      <sharedItems containsSemiMixedTypes="0" containsNonDate="0" containsDate="1" containsString="0" minDate="2023-01-01T00:00:00" maxDate="2023-03-02T00:00:00" count="5">
        <d v="2023-01-01T00:00:00"/>
        <d v="2023-01-02T00:00:00"/>
        <d v="2023-01-03T00:00:00"/>
        <d v="2023-02-01T00:00:00"/>
        <d v="2023-03-01T00:00:00"/>
      </sharedItems>
    </cacheField>
    <cacheField name="[Measures].[Somme de Quantité]" caption="Somme de Quantité" numFmtId="0" hierarchy="31" level="32767"/>
    <cacheField name="[ListeAchat].[Date (mois)].[Date (mois)]" caption="Date (mois)" numFmtId="0" hierarchy="12" level="1">
      <sharedItems count="3">
        <s v="Jan"/>
        <s v="Feb"/>
        <s v="Mar"/>
      </sharedItems>
    </cacheField>
    <cacheField name="[LesRéférences].[Référence].[Référence]" caption="Référence" numFmtId="0" hierarchy="2" level="1">
      <sharedItems containsSemiMixedTypes="0" containsNonDate="0" containsString="0"/>
    </cacheField>
    <cacheField name="[lescatégories].[Catégorie].[Catégorie]" caption="Catégorie" numFmtId="0" level="1">
      <sharedItems containsSemiMixedTypes="0" containsNonDate="0" containsString="0"/>
    </cacheField>
  </cacheFields>
  <cacheHierarchies count="35">
    <cacheHierarchy uniqueName="[lescatégories].[Catégorie]" caption="Catégorie" attribute="1" defaultMemberUniqueName="[lescatégories].[Catégorie].[All]" allUniqueName="[lescatégories].[Catégorie].[All]" dimensionUniqueName="[lescatégories]" displayFolder="" count="2" memberValueDatatype="130" unbalanced="0">
      <fieldsUsage count="2">
        <fieldUsage x="-1"/>
        <fieldUsage x="4"/>
      </fieldsUsage>
    </cacheHierarchy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éférences].[Référence]" caption="Référence" attribute="1" defaultMemberUniqueName="[LesRéférences].[Référence].[All]" allUniqueName="[LesRéférences].[Référence].[All]" dimensionUniqueName="[LesRéférences]" displayFolder="" count="2" memberValueDatatype="130" unbalanced="0">
      <fieldsUsage count="2">
        <fieldUsage x="-1"/>
        <fieldUsage x="3"/>
      </fieldsUsage>
    </cacheHierarchy>
    <cacheHierarchy uniqueName="[ListeAchat].[Numéro]" caption="Numéro" attribute="1" defaultMemberUniqueName="[ListeAchat].[Numéro].[All]" allUniqueName="[ListeAchat].[Numéro].[All]" dimensionUniqueName="[ListeAchat]" displayFolder="" count="0" memberValueDatatype="20" unbalanced="0"/>
    <cacheHierarchy uniqueName="[ListeAchat].[Date]" caption="Date" attribute="1" time="1" defaultMemberUniqueName="[ListeAchat].[Date].[All]" allUniqueName="[ListeAchat].[Date].[All]" dimensionUniqueName="[ListeAchat]" displayFolder="" count="2" memberValueDatatype="7" unbalanced="0">
      <fieldsUsage count="2">
        <fieldUsage x="-1"/>
        <fieldUsage x="0"/>
      </fieldsUsage>
    </cacheHierarchy>
    <cacheHierarchy uniqueName="[ListeAchat].[Référence]" caption="Référence" attribute="1" defaultMemberUniqueName="[ListeAchat].[Référence].[All]" allUniqueName="[ListeAchat].[Référence].[All]" dimensionUniqueName="[ListeAchat]" displayFolder="" count="0" memberValueDatatype="130" unbalanced="0"/>
    <cacheHierarchy uniqueName="[ListeAchat].[Désignation]" caption="Désignation" attribute="1" defaultMemberUniqueName="[ListeAchat].[Désignation].[All]" allUniqueName="[ListeAchat].[Désignation].[All]" dimensionUniqueName="[ListeAchat]" displayFolder="" count="0" memberValueDatatype="130" unbalanced="0"/>
    <cacheHierarchy uniqueName="[ListeAchat].[Catégorie]" caption="Catégorie" attribute="1" defaultMemberUniqueName="[ListeAchat].[Catégorie].[All]" allUniqueName="[ListeAchat].[Catégorie].[All]" dimensionUniqueName="[ListeAchat]" displayFolder="" count="0" memberValueDatatype="130" unbalanced="0"/>
    <cacheHierarchy uniqueName="[ListeAchat].[Unité]" caption="Unité" attribute="1" defaultMemberUniqueName="[ListeAchat].[Unité].[All]" allUniqueName="[ListeAchat].[Unité].[All]" dimensionUniqueName="[ListeAchat]" displayFolder="" count="0" memberValueDatatype="130" unbalanced="0"/>
    <cacheHierarchy uniqueName="[ListeAchat].[Prix d'achat]" caption="Prix d'achat" attribute="1" defaultMemberUniqueName="[ListeAchat].[Prix d'achat].[All]" allUniqueName="[ListeAchat].[Prix d'achat].[All]" dimensionUniqueName="[ListeAchat]" displayFolder="" count="0" memberValueDatatype="20" unbalanced="0"/>
    <cacheHierarchy uniqueName="[ListeAchat].[Quantité]" caption="Quantité" attribute="1" defaultMemberUniqueName="[ListeAchat].[Quantité].[All]" allUniqueName="[ListeAchat].[Quantité].[All]" dimensionUniqueName="[ListeAchat]" displayFolder="" count="0" memberValueDatatype="20" unbalanced="0"/>
    <cacheHierarchy uniqueName="[ListeAchat].[total]" caption="total" attribute="1" defaultMemberUniqueName="[ListeAchat].[total].[All]" allUniqueName="[ListeAchat].[total].[All]" dimensionUniqueName="[ListeAchat]" displayFolder="" count="0" memberValueDatatype="20" unbalanced="0"/>
    <cacheHierarchy uniqueName="[ListeAchat].[Date (mois)]" caption="Date (mois)" attribute="1" defaultMemberUniqueName="[ListeAchat].[Date (mois)].[All]" allUniqueName="[ListeAchat].[Date (mois)].[All]" dimensionUniqueName="[ListeAchat]" displayFolder="" count="2" memberValueDatatype="130" unbalanced="0">
      <fieldsUsage count="2">
        <fieldUsage x="-1"/>
        <fieldUsage x="2"/>
      </fieldsUsage>
    </cacheHierarchy>
    <cacheHierarchy uniqueName="[ListeVente].[Numéro]" caption="Numéro" attribute="1" defaultMemberUniqueName="[ListeVente].[Numéro].[All]" allUniqueName="[ListeVente].[Numéro].[All]" dimensionUniqueName="[ListeVente]" displayFolder="" count="0" memberValueDatatype="20" unbalanced="0"/>
    <cacheHierarchy uniqueName="[ListeVente].[Date]" caption="Date" attribute="1" time="1" defaultMemberUniqueName="[ListeVente].[Date].[All]" allUniqueName="[ListeVente].[Date].[All]" dimensionUniqueName="[ListeVente]" displayFolder="" count="0" memberValueDatatype="7" unbalanced="0"/>
    <cacheHierarchy uniqueName="[ListeVente].[Référence]" caption="Référence" attribute="1" defaultMemberUniqueName="[ListeVente].[Référence].[All]" allUniqueName="[ListeVente].[Référence].[All]" dimensionUniqueName="[ListeVente]" displayFolder="" count="0" memberValueDatatype="130" unbalanced="0"/>
    <cacheHierarchy uniqueName="[ListeVente].[Désignation]" caption="Désignation" attribute="1" defaultMemberUniqueName="[ListeVente].[Désignation].[All]" allUniqueName="[ListeVente].[Désignation].[All]" dimensionUniqueName="[ListeVente]" displayFolder="" count="0" memberValueDatatype="130" unbalanced="0"/>
    <cacheHierarchy uniqueName="[ListeVente].[Catégorie]" caption="Catégorie" attribute="1" defaultMemberUniqueName="[ListeVente].[Catégorie].[All]" allUniqueName="[ListeVente].[Catégorie].[All]" dimensionUniqueName="[ListeVente]" displayFolder="" count="0" memberValueDatatype="130" unbalanced="0"/>
    <cacheHierarchy uniqueName="[ListeVente].[Unité]" caption="Unité" attribute="1" defaultMemberUniqueName="[ListeVente].[Unité].[All]" allUniqueName="[ListeVente].[Unité].[All]" dimensionUniqueName="[ListeVente]" displayFolder="" count="0" memberValueDatatype="130" unbalanced="0"/>
    <cacheHierarchy uniqueName="[ListeVente].[Prix de Vente]" caption="Prix de Vente" attribute="1" defaultMemberUniqueName="[ListeVente].[Prix de Vente].[All]" allUniqueName="[ListeVente].[Prix de Vente].[All]" dimensionUniqueName="[ListeVente]" displayFolder="" count="0" memberValueDatatype="20" unbalanced="0"/>
    <cacheHierarchy uniqueName="[ListeVente].[Quantité]" caption="Quantité" attribute="1" defaultMemberUniqueName="[ListeVente].[Quantité].[All]" allUniqueName="[ListeVente].[Quantité].[All]" dimensionUniqueName="[ListeVente]" displayFolder="" count="0" memberValueDatatype="20" unbalanced="0"/>
    <cacheHierarchy uniqueName="[ListeVente].[total]" caption="total" attribute="1" defaultMemberUniqueName="[ListeVente].[total].[All]" allUniqueName="[ListeVente].[total].[All]" dimensionUniqueName="[ListeVente]" displayFolder="" count="0" memberValueDatatype="20" unbalanced="0"/>
    <cacheHierarchy uniqueName="[ListeVente].[Date (mois)]" caption="Date (mois)" attribute="1" defaultMemberUniqueName="[ListeVente].[Date (mois)].[All]" allUniqueName="[ListeVente].[Date (mois)].[All]" dimensionUniqueName="[ListeVente]" displayFolder="" count="0" memberValueDatatype="130" unbalanced="0"/>
    <cacheHierarchy uniqueName="[ListeAchat].[Date (index des mois)]" caption="Date (index des mois)" attribute="1" defaultMemberUniqueName="[ListeAchat].[Date (index des mois)].[All]" allUniqueName="[ListeAchat].[Date (index des mois)].[All]" dimensionUniqueName="[ListeAchat]" displayFolder="" count="0" memberValueDatatype="20" unbalanced="0" hidden="1"/>
    <cacheHierarchy uniqueName="[ListeVente].[Date (index des mois)]" caption="Date (index des mois)" attribute="1" defaultMemberUniqueName="[ListeVente].[Date (index des mois)].[All]" allUniqueName="[ListeVente].[Date (index des mois)].[All]" dimensionUniqueName="[ListeVente]" displayFolder="" count="0" memberValueDatatype="20" unbalanced="0" hidden="1"/>
    <cacheHierarchy uniqueName="[Measures].[__XL_Count ListeAchat]" caption="__XL_Count ListeAchat" measure="1" displayFolder="" measureGroup="ListeAchat" count="0" hidden="1"/>
    <cacheHierarchy uniqueName="[Measures].[__XL_Count ListeVente]" caption="__XL_Count ListeVente" measure="1" displayFolder="" measureGroup="ListeVente" count="0" hidden="1"/>
    <cacheHierarchy uniqueName="[Measures].[__XL_Count lescatégories]" caption="__XL_Count lescatégories" measure="1" displayFolder="" measureGroup="lescatégories" count="0" hidden="1"/>
    <cacheHierarchy uniqueName="[Measures].[__XL_Count LesRéférences]" caption="__XL_Count LesRéférences" measure="1" displayFolder="" measureGroup="LesRéfé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uantité 2]" caption="Somme de Quantité 2" measure="1" displayFolder="" measureGroup="ListeVente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e de total]" caption="Somme de total" measure="1" displayFolder="" measureGroup="ListeAchat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</cacheHierarchies>
  <kpis count="0"/>
  <dimensions count="6">
    <dimension name="lescatégories" uniqueName="[lescatégories]" caption="lescatégories"/>
    <dimension name="lesMois" uniqueName="[lesMois]" caption="lesMois"/>
    <dimension name="LesRéférences" uniqueName="[LesRéférences]" caption="LesRéférences"/>
    <dimension name="ListeAchat" uniqueName="[ListeAchat]" caption="ListeAchat"/>
    <dimension name="ListeVente" uniqueName="[ListeVente]" caption="ListeVente"/>
    <dimension measure="1" name="Measures" uniqueName="[Measures]" caption="Measures"/>
  </dimensions>
  <measureGroups count="5">
    <measureGroup name="lescatégories" caption="lescatégories"/>
    <measureGroup name="lesMois" caption="lesMois"/>
    <measureGroup name="LesRéférences" caption="LesRéférences"/>
    <measureGroup name="ListeAchat" caption="ListeAchat"/>
    <measureGroup name="ListeVente" caption="ListeVente"/>
  </measureGroups>
  <maps count="11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0"/>
    <map measureGroup="4" dimension="1"/>
    <map measureGroup="4" dimension="2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ulRahmane" refreshedDate="44997.501566782405" backgroundQuery="1" createdVersion="6" refreshedVersion="6" minRefreshableVersion="3" recordCount="0" supportSubquery="1" supportAdvancedDrill="1" xr:uid="{D3F1B83C-4288-404C-B519-4C3EC3E3DCA3}">
  <cacheSource type="external" connectionId="1"/>
  <cacheFields count="5">
    <cacheField name="[ListeVente].[Date].[Date]" caption="Date" numFmtId="0" hierarchy="14" level="1">
      <sharedItems containsSemiMixedTypes="0" containsNonDate="0" containsDate="1" containsString="0" minDate="2023-01-01T00:00:00" maxDate="2023-03-02T00:00:00" count="4">
        <d v="2023-01-01T00:00:00"/>
        <d v="2023-01-02T00:00:00"/>
        <d v="2023-02-01T00:00:00"/>
        <d v="2023-03-01T00:00:00"/>
      </sharedItems>
    </cacheField>
    <cacheField name="[Measures].[Somme de Quantité 2]" caption="Somme de Quantité 2" numFmtId="0" hierarchy="32" level="32767"/>
    <cacheField name="[ListeVente].[Date (mois)].[Date (mois)]" caption="Date (mois)" numFmtId="0" hierarchy="22" level="1">
      <sharedItems count="3">
        <s v="Jan"/>
        <s v="Feb"/>
        <s v="Mar"/>
      </sharedItems>
    </cacheField>
    <cacheField name="[LesRéférences].[Référence].[Référence]" caption="Référence" numFmtId="0" hierarchy="2" level="1">
      <sharedItems containsSemiMixedTypes="0" containsNonDate="0" containsString="0"/>
    </cacheField>
    <cacheField name="[lescatégories].[Catégorie].[Catégorie]" caption="Catégorie" numFmtId="0" level="1">
      <sharedItems containsSemiMixedTypes="0" containsNonDate="0" containsString="0"/>
    </cacheField>
  </cacheFields>
  <cacheHierarchies count="35">
    <cacheHierarchy uniqueName="[lescatégories].[Catégorie]" caption="Catégorie" attribute="1" defaultMemberUniqueName="[lescatégories].[Catégorie].[All]" allUniqueName="[lescatégories].[Catégorie].[All]" dimensionUniqueName="[lescatégories]" displayFolder="" count="2" memberValueDatatype="130" unbalanced="0">
      <fieldsUsage count="2">
        <fieldUsage x="-1"/>
        <fieldUsage x="4"/>
      </fieldsUsage>
    </cacheHierarchy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éférences].[Référence]" caption="Référence" attribute="1" defaultMemberUniqueName="[LesRéférences].[Référence].[All]" allUniqueName="[LesRéférences].[Référence].[All]" dimensionUniqueName="[LesRéférences]" displayFolder="" count="2" memberValueDatatype="130" unbalanced="0">
      <fieldsUsage count="2">
        <fieldUsage x="-1"/>
        <fieldUsage x="3"/>
      </fieldsUsage>
    </cacheHierarchy>
    <cacheHierarchy uniqueName="[ListeAchat].[Numéro]" caption="Numéro" attribute="1" defaultMemberUniqueName="[ListeAchat].[Numéro].[All]" allUniqueName="[ListeAchat].[Numéro].[All]" dimensionUniqueName="[ListeAchat]" displayFolder="" count="0" memberValueDatatype="20" unbalanced="0"/>
    <cacheHierarchy uniqueName="[ListeAchat].[Date]" caption="Date" attribute="1" time="1" defaultMemberUniqueName="[ListeAchat].[Date].[All]" allUniqueName="[ListeAchat].[Date].[All]" dimensionUniqueName="[ListeAchat]" displayFolder="" count="0" memberValueDatatype="7" unbalanced="0"/>
    <cacheHierarchy uniqueName="[ListeAchat].[Référence]" caption="Référence" attribute="1" defaultMemberUniqueName="[ListeAchat].[Référence].[All]" allUniqueName="[ListeAchat].[Référence].[All]" dimensionUniqueName="[ListeAchat]" displayFolder="" count="0" memberValueDatatype="130" unbalanced="0"/>
    <cacheHierarchy uniqueName="[ListeAchat].[Désignation]" caption="Désignation" attribute="1" defaultMemberUniqueName="[ListeAchat].[Désignation].[All]" allUniqueName="[ListeAchat].[Désignation].[All]" dimensionUniqueName="[ListeAchat]" displayFolder="" count="0" memberValueDatatype="130" unbalanced="0"/>
    <cacheHierarchy uniqueName="[ListeAchat].[Catégorie]" caption="Catégorie" attribute="1" defaultMemberUniqueName="[ListeAchat].[Catégorie].[All]" allUniqueName="[ListeAchat].[Catégorie].[All]" dimensionUniqueName="[ListeAchat]" displayFolder="" count="0" memberValueDatatype="130" unbalanced="0"/>
    <cacheHierarchy uniqueName="[ListeAchat].[Unité]" caption="Unité" attribute="1" defaultMemberUniqueName="[ListeAchat].[Unité].[All]" allUniqueName="[ListeAchat].[Unité].[All]" dimensionUniqueName="[ListeAchat]" displayFolder="" count="0" memberValueDatatype="130" unbalanced="0"/>
    <cacheHierarchy uniqueName="[ListeAchat].[Prix d'achat]" caption="Prix d'achat" attribute="1" defaultMemberUniqueName="[ListeAchat].[Prix d'achat].[All]" allUniqueName="[ListeAchat].[Prix d'achat].[All]" dimensionUniqueName="[ListeAchat]" displayFolder="" count="0" memberValueDatatype="20" unbalanced="0"/>
    <cacheHierarchy uniqueName="[ListeAchat].[Quantité]" caption="Quantité" attribute="1" defaultMemberUniqueName="[ListeAchat].[Quantité].[All]" allUniqueName="[ListeAchat].[Quantité].[All]" dimensionUniqueName="[ListeAchat]" displayFolder="" count="0" memberValueDatatype="20" unbalanced="0"/>
    <cacheHierarchy uniqueName="[ListeAchat].[total]" caption="total" attribute="1" defaultMemberUniqueName="[ListeAchat].[total].[All]" allUniqueName="[ListeAchat].[total].[All]" dimensionUniqueName="[ListeAchat]" displayFolder="" count="0" memberValueDatatype="20" unbalanced="0"/>
    <cacheHierarchy uniqueName="[ListeAchat].[Date (mois)]" caption="Date (mois)" attribute="1" defaultMemberUniqueName="[ListeAchat].[Date (mois)].[All]" allUniqueName="[ListeAchat].[Date (mois)].[All]" dimensionUniqueName="[ListeAchat]" displayFolder="" count="0" memberValueDatatype="130" unbalanced="0"/>
    <cacheHierarchy uniqueName="[ListeVente].[Numéro]" caption="Numéro" attribute="1" defaultMemberUniqueName="[ListeVente].[Numéro].[All]" allUniqueName="[ListeVente].[Numéro].[All]" dimensionUniqueName="[ListeVente]" displayFolder="" count="0" memberValueDatatype="20" unbalanced="0"/>
    <cacheHierarchy uniqueName="[ListeVente].[Date]" caption="Date" attribute="1" time="1" defaultMemberUniqueName="[ListeVente].[Date].[All]" allUniqueName="[ListeVente].[Date].[All]" dimensionUniqueName="[ListeVente]" displayFolder="" count="2" memberValueDatatype="7" unbalanced="0">
      <fieldsUsage count="2">
        <fieldUsage x="-1"/>
        <fieldUsage x="0"/>
      </fieldsUsage>
    </cacheHierarchy>
    <cacheHierarchy uniqueName="[ListeVente].[Référence]" caption="Référence" attribute="1" defaultMemberUniqueName="[ListeVente].[Référence].[All]" allUniqueName="[ListeVente].[Référence].[All]" dimensionUniqueName="[ListeVente]" displayFolder="" count="0" memberValueDatatype="130" unbalanced="0"/>
    <cacheHierarchy uniqueName="[ListeVente].[Désignation]" caption="Désignation" attribute="1" defaultMemberUniqueName="[ListeVente].[Désignation].[All]" allUniqueName="[ListeVente].[Désignation].[All]" dimensionUniqueName="[ListeVente]" displayFolder="" count="0" memberValueDatatype="130" unbalanced="0"/>
    <cacheHierarchy uniqueName="[ListeVente].[Catégorie]" caption="Catégorie" attribute="1" defaultMemberUniqueName="[ListeVente].[Catégorie].[All]" allUniqueName="[ListeVente].[Catégorie].[All]" dimensionUniqueName="[ListeVente]" displayFolder="" count="0" memberValueDatatype="130" unbalanced="0"/>
    <cacheHierarchy uniqueName="[ListeVente].[Unité]" caption="Unité" attribute="1" defaultMemberUniqueName="[ListeVente].[Unité].[All]" allUniqueName="[ListeVente].[Unité].[All]" dimensionUniqueName="[ListeVente]" displayFolder="" count="0" memberValueDatatype="130" unbalanced="0"/>
    <cacheHierarchy uniqueName="[ListeVente].[Prix de Vente]" caption="Prix de Vente" attribute="1" defaultMemberUniqueName="[ListeVente].[Prix de Vente].[All]" allUniqueName="[ListeVente].[Prix de Vente].[All]" dimensionUniqueName="[ListeVente]" displayFolder="" count="0" memberValueDatatype="20" unbalanced="0"/>
    <cacheHierarchy uniqueName="[ListeVente].[Quantité]" caption="Quantité" attribute="1" defaultMemberUniqueName="[ListeVente].[Quantité].[All]" allUniqueName="[ListeVente].[Quantité].[All]" dimensionUniqueName="[ListeVente]" displayFolder="" count="0" memberValueDatatype="20" unbalanced="0"/>
    <cacheHierarchy uniqueName="[ListeVente].[total]" caption="total" attribute="1" defaultMemberUniqueName="[ListeVente].[total].[All]" allUniqueName="[ListeVente].[total].[All]" dimensionUniqueName="[ListeVente]" displayFolder="" count="0" memberValueDatatype="20" unbalanced="0"/>
    <cacheHierarchy uniqueName="[ListeVente].[Date (mois)]" caption="Date (mois)" attribute="1" defaultMemberUniqueName="[ListeVente].[Date (mois)].[All]" allUniqueName="[ListeVente].[Date (mois)].[All]" dimensionUniqueName="[ListeVente]" displayFolder="" count="2" memberValueDatatype="130" unbalanced="0">
      <fieldsUsage count="2">
        <fieldUsage x="-1"/>
        <fieldUsage x="2"/>
      </fieldsUsage>
    </cacheHierarchy>
    <cacheHierarchy uniqueName="[ListeAchat].[Date (index des mois)]" caption="Date (index des mois)" attribute="1" defaultMemberUniqueName="[ListeAchat].[Date (index des mois)].[All]" allUniqueName="[ListeAchat].[Date (index des mois)].[All]" dimensionUniqueName="[ListeAchat]" displayFolder="" count="0" memberValueDatatype="20" unbalanced="0" hidden="1"/>
    <cacheHierarchy uniqueName="[ListeVente].[Date (index des mois)]" caption="Date (index des mois)" attribute="1" defaultMemberUniqueName="[ListeVente].[Date (index des mois)].[All]" allUniqueName="[ListeVente].[Date (index des mois)].[All]" dimensionUniqueName="[ListeVente]" displayFolder="" count="0" memberValueDatatype="20" unbalanced="0" hidden="1"/>
    <cacheHierarchy uniqueName="[Measures].[__XL_Count ListeAchat]" caption="__XL_Count ListeAchat" measure="1" displayFolder="" measureGroup="ListeAchat" count="0" hidden="1"/>
    <cacheHierarchy uniqueName="[Measures].[__XL_Count ListeVente]" caption="__XL_Count ListeVente" measure="1" displayFolder="" measureGroup="ListeVente" count="0" hidden="1"/>
    <cacheHierarchy uniqueName="[Measures].[__XL_Count lescatégories]" caption="__XL_Count lescatégories" measure="1" displayFolder="" measureGroup="lescatégories" count="0" hidden="1"/>
    <cacheHierarchy uniqueName="[Measures].[__XL_Count LesRéférences]" caption="__XL_Count LesRéférences" measure="1" displayFolder="" measureGroup="LesRéfé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uantité 2]" caption="Somme de Quantité 2" measure="1" displayFolder="" measureGroup="ListeVent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e de total]" caption="Somme de total" measure="1" displayFolder="" measureGroup="ListeAchat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</cacheHierarchies>
  <kpis count="0"/>
  <dimensions count="6">
    <dimension name="lescatégories" uniqueName="[lescatégories]" caption="lescatégories"/>
    <dimension name="lesMois" uniqueName="[lesMois]" caption="lesMois"/>
    <dimension name="LesRéférences" uniqueName="[LesRéférences]" caption="LesRéférences"/>
    <dimension name="ListeAchat" uniqueName="[ListeAchat]" caption="ListeAchat"/>
    <dimension name="ListeVente" uniqueName="[ListeVente]" caption="ListeVente"/>
    <dimension measure="1" name="Measures" uniqueName="[Measures]" caption="Measures"/>
  </dimensions>
  <measureGroups count="5">
    <measureGroup name="lescatégories" caption="lescatégories"/>
    <measureGroup name="lesMois" caption="lesMois"/>
    <measureGroup name="LesRéférences" caption="LesRéférences"/>
    <measureGroup name="ListeAchat" caption="ListeAchat"/>
    <measureGroup name="ListeVente" caption="ListeVente"/>
  </measureGroups>
  <maps count="11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0"/>
    <map measureGroup="4" dimension="1"/>
    <map measureGroup="4" dimension="2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ulRahmane" refreshedDate="44997.501571064815" backgroundQuery="1" createdVersion="6" refreshedVersion="6" minRefreshableVersion="3" recordCount="0" supportSubquery="1" supportAdvancedDrill="1" xr:uid="{AFFE5A87-420C-45FB-AF62-E1DBA6BC4653}">
  <cacheSource type="external" connectionId="1"/>
  <cacheFields count="6">
    <cacheField name="[ListeVente].[Date].[Date]" caption="Date" numFmtId="0" hierarchy="14" level="1">
      <sharedItems containsSemiMixedTypes="0" containsNonDate="0" containsDate="1" containsString="0" minDate="2023-01-01T00:00:00" maxDate="2023-03-02T00:00:00" count="4">
        <d v="2023-01-01T00:00:00"/>
        <d v="2023-01-02T00:00:00"/>
        <d v="2023-02-01T00:00:00"/>
        <d v="2023-03-01T00:00:00"/>
      </sharedItems>
    </cacheField>
    <cacheField name="[Measures].[Somme de total 2]" caption="Somme de total 2" numFmtId="0" hierarchy="34" level="32767"/>
    <cacheField name="[ListeVente].[Date (mois)].[Date (mois)]" caption="Date (mois)" numFmtId="0" hierarchy="22" level="1">
      <sharedItems count="3">
        <s v="Jan"/>
        <s v="Feb"/>
        <s v="Mar"/>
      </sharedItems>
    </cacheField>
    <cacheField name="[LesRéférences].[Référence].[Référence]" caption="Référence" numFmtId="0" hierarchy="2" level="1">
      <sharedItems containsSemiMixedTypes="0" containsNonDate="0" containsString="0"/>
    </cacheField>
    <cacheField name="[lescatégories].[Catégorie].[Catégorie]" caption="Catégorie" numFmtId="0" level="1">
      <sharedItems containsSemiMixedTypes="0" containsNonDate="0" containsString="0"/>
    </cacheField>
    <cacheField name="Dummy0" numFmtId="0" hierarchy="35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36">
    <cacheHierarchy uniqueName="[lescatégories].[Catégorie]" caption="Catégorie" attribute="1" defaultMemberUniqueName="[lescatégories].[Catégorie].[All]" allUniqueName="[lescatégories].[Catégorie].[All]" dimensionUniqueName="[lescatégories]" displayFolder="" count="2" memberValueDatatype="130" unbalanced="0">
      <fieldsUsage count="2">
        <fieldUsage x="-1"/>
        <fieldUsage x="4"/>
      </fieldsUsage>
    </cacheHierarchy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éférences].[Référence]" caption="Référence" attribute="1" defaultMemberUniqueName="[LesRéférences].[Référence].[All]" allUniqueName="[LesRéférences].[Référence].[All]" dimensionUniqueName="[LesRéférences]" displayFolder="" count="2" memberValueDatatype="130" unbalanced="0">
      <fieldsUsage count="2">
        <fieldUsage x="-1"/>
        <fieldUsage x="3"/>
      </fieldsUsage>
    </cacheHierarchy>
    <cacheHierarchy uniqueName="[ListeAchat].[Numéro]" caption="Numéro" attribute="1" defaultMemberUniqueName="[ListeAchat].[Numéro].[All]" allUniqueName="[ListeAchat].[Numéro].[All]" dimensionUniqueName="[ListeAchat]" displayFolder="" count="0" memberValueDatatype="20" unbalanced="0"/>
    <cacheHierarchy uniqueName="[ListeAchat].[Date]" caption="Date" attribute="1" time="1" defaultMemberUniqueName="[ListeAchat].[Date].[All]" allUniqueName="[ListeAchat].[Date].[All]" dimensionUniqueName="[ListeAchat]" displayFolder="" count="0" memberValueDatatype="7" unbalanced="0"/>
    <cacheHierarchy uniqueName="[ListeAchat].[Référence]" caption="Référence" attribute="1" defaultMemberUniqueName="[ListeAchat].[Référence].[All]" allUniqueName="[ListeAchat].[Référence].[All]" dimensionUniqueName="[ListeAchat]" displayFolder="" count="0" memberValueDatatype="130" unbalanced="0"/>
    <cacheHierarchy uniqueName="[ListeAchat].[Désignation]" caption="Désignation" attribute="1" defaultMemberUniqueName="[ListeAchat].[Désignation].[All]" allUniqueName="[ListeAchat].[Désignation].[All]" dimensionUniqueName="[ListeAchat]" displayFolder="" count="0" memberValueDatatype="130" unbalanced="0"/>
    <cacheHierarchy uniqueName="[ListeAchat].[Catégorie]" caption="Catégorie" attribute="1" defaultMemberUniqueName="[ListeAchat].[Catégorie].[All]" allUniqueName="[ListeAchat].[Catégorie].[All]" dimensionUniqueName="[ListeAchat]" displayFolder="" count="0" memberValueDatatype="130" unbalanced="0"/>
    <cacheHierarchy uniqueName="[ListeAchat].[Unité]" caption="Unité" attribute="1" defaultMemberUniqueName="[ListeAchat].[Unité].[All]" allUniqueName="[ListeAchat].[Unité].[All]" dimensionUniqueName="[ListeAchat]" displayFolder="" count="0" memberValueDatatype="130" unbalanced="0"/>
    <cacheHierarchy uniqueName="[ListeAchat].[Prix d'achat]" caption="Prix d'achat" attribute="1" defaultMemberUniqueName="[ListeAchat].[Prix d'achat].[All]" allUniqueName="[ListeAchat].[Prix d'achat].[All]" dimensionUniqueName="[ListeAchat]" displayFolder="" count="0" memberValueDatatype="20" unbalanced="0"/>
    <cacheHierarchy uniqueName="[ListeAchat].[Quantité]" caption="Quantité" attribute="1" defaultMemberUniqueName="[ListeAchat].[Quantité].[All]" allUniqueName="[ListeAchat].[Quantité].[All]" dimensionUniqueName="[ListeAchat]" displayFolder="" count="0" memberValueDatatype="20" unbalanced="0"/>
    <cacheHierarchy uniqueName="[ListeAchat].[total]" caption="total" attribute="1" defaultMemberUniqueName="[ListeAchat].[total].[All]" allUniqueName="[ListeAchat].[total].[All]" dimensionUniqueName="[ListeAchat]" displayFolder="" count="0" memberValueDatatype="20" unbalanced="0"/>
    <cacheHierarchy uniqueName="[ListeAchat].[Date (mois)]" caption="Date (mois)" attribute="1" defaultMemberUniqueName="[ListeAchat].[Date (mois)].[All]" allUniqueName="[ListeAchat].[Date (mois)].[All]" dimensionUniqueName="[ListeAchat]" displayFolder="" count="0" memberValueDatatype="130" unbalanced="0"/>
    <cacheHierarchy uniqueName="[ListeVente].[Numéro]" caption="Numéro" attribute="1" defaultMemberUniqueName="[ListeVente].[Numéro].[All]" allUniqueName="[ListeVente].[Numéro].[All]" dimensionUniqueName="[ListeVente]" displayFolder="" count="0" memberValueDatatype="20" unbalanced="0"/>
    <cacheHierarchy uniqueName="[ListeVente].[Date]" caption="Date" attribute="1" time="1" defaultMemberUniqueName="[ListeVente].[Date].[All]" allUniqueName="[ListeVente].[Date].[All]" dimensionUniqueName="[ListeVente]" displayFolder="" count="2" memberValueDatatype="7" unbalanced="0">
      <fieldsUsage count="2">
        <fieldUsage x="-1"/>
        <fieldUsage x="0"/>
      </fieldsUsage>
    </cacheHierarchy>
    <cacheHierarchy uniqueName="[ListeVente].[Référence]" caption="Référence" attribute="1" defaultMemberUniqueName="[ListeVente].[Référence].[All]" allUniqueName="[ListeVente].[Référence].[All]" dimensionUniqueName="[ListeVente]" displayFolder="" count="0" memberValueDatatype="130" unbalanced="0"/>
    <cacheHierarchy uniqueName="[ListeVente].[Désignation]" caption="Désignation" attribute="1" defaultMemberUniqueName="[ListeVente].[Désignation].[All]" allUniqueName="[ListeVente].[Désignation].[All]" dimensionUniqueName="[ListeVente]" displayFolder="" count="0" memberValueDatatype="130" unbalanced="0"/>
    <cacheHierarchy uniqueName="[ListeVente].[Catégorie]" caption="Catégorie" attribute="1" defaultMemberUniqueName="[ListeVente].[Catégorie].[All]" allUniqueName="[ListeVente].[Catégorie].[All]" dimensionUniqueName="[ListeVente]" displayFolder="" count="0" memberValueDatatype="130" unbalanced="0"/>
    <cacheHierarchy uniqueName="[ListeVente].[Unité]" caption="Unité" attribute="1" defaultMemberUniqueName="[ListeVente].[Unité].[All]" allUniqueName="[ListeVente].[Unité].[All]" dimensionUniqueName="[ListeVente]" displayFolder="" count="0" memberValueDatatype="130" unbalanced="0"/>
    <cacheHierarchy uniqueName="[ListeVente].[Prix de Vente]" caption="Prix de Vente" attribute="1" defaultMemberUniqueName="[ListeVente].[Prix de Vente].[All]" allUniqueName="[ListeVente].[Prix de Vente].[All]" dimensionUniqueName="[ListeVente]" displayFolder="" count="0" memberValueDatatype="20" unbalanced="0"/>
    <cacheHierarchy uniqueName="[ListeVente].[Quantité]" caption="Quantité" attribute="1" defaultMemberUniqueName="[ListeVente].[Quantité].[All]" allUniqueName="[ListeVente].[Quantité].[All]" dimensionUniqueName="[ListeVente]" displayFolder="" count="0" memberValueDatatype="20" unbalanced="0"/>
    <cacheHierarchy uniqueName="[ListeVente].[total]" caption="total" attribute="1" defaultMemberUniqueName="[ListeVente].[total].[All]" allUniqueName="[ListeVente].[total].[All]" dimensionUniqueName="[ListeVente]" displayFolder="" count="0" memberValueDatatype="20" unbalanced="0"/>
    <cacheHierarchy uniqueName="[ListeVente].[Date (mois)]" caption="Date (mois)" attribute="1" defaultMemberUniqueName="[ListeVente].[Date (mois)].[All]" allUniqueName="[ListeVente].[Date (mois)].[All]" dimensionUniqueName="[ListeVente]" displayFolder="" count="2" memberValueDatatype="130" unbalanced="0">
      <fieldsUsage count="2">
        <fieldUsage x="-1"/>
        <fieldUsage x="2"/>
      </fieldsUsage>
    </cacheHierarchy>
    <cacheHierarchy uniqueName="[ListeAchat].[Date (index des mois)]" caption="Date (index des mois)" attribute="1" defaultMemberUniqueName="[ListeAchat].[Date (index des mois)].[All]" allUniqueName="[ListeAchat].[Date (index des mois)].[All]" dimensionUniqueName="[ListeAchat]" displayFolder="" count="0" memberValueDatatype="20" unbalanced="0" hidden="1"/>
    <cacheHierarchy uniqueName="[ListeVente].[Date (index des mois)]" caption="Date (index des mois)" attribute="1" defaultMemberUniqueName="[ListeVente].[Date (index des mois)].[All]" allUniqueName="[ListeVente].[Date (index des mois)].[All]" dimensionUniqueName="[ListeVente]" displayFolder="" count="0" memberValueDatatype="20" unbalanced="0" hidden="1"/>
    <cacheHierarchy uniqueName="[Measures].[__XL_Count ListeAchat]" caption="__XL_Count ListeAchat" measure="1" displayFolder="" measureGroup="ListeAchat" count="0" hidden="1"/>
    <cacheHierarchy uniqueName="[Measures].[__XL_Count ListeVente]" caption="__XL_Count ListeVente" measure="1" displayFolder="" measureGroup="ListeVente" count="0" hidden="1"/>
    <cacheHierarchy uniqueName="[Measures].[__XL_Count lescatégories]" caption="__XL_Count lescatégories" measure="1" displayFolder="" measureGroup="lescatégories" count="0" hidden="1"/>
    <cacheHierarchy uniqueName="[Measures].[__XL_Count LesRéférences]" caption="__XL_Count LesRéférences" measure="1" displayFolder="" measureGroup="LesRéfé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uantité 2]" caption="Somme de Quantité 2" measure="1" displayFolder="" measureGroup="ListeVente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e de total]" caption="Somme de total" measure="1" displayFolder="" measureGroup="ListeAchat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Dummy0" caption="Catégorie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6">
    <dimension name="lescatégories" uniqueName="[lescatégories]" caption="lescatégories"/>
    <dimension name="lesMois" uniqueName="[lesMois]" caption="lesMois"/>
    <dimension name="LesRéférences" uniqueName="[LesRéférences]" caption="LesRéférences"/>
    <dimension name="ListeAchat" uniqueName="[ListeAchat]" caption="ListeAchat"/>
    <dimension name="ListeVente" uniqueName="[ListeVente]" caption="ListeVente"/>
    <dimension measure="1" name="Measures" uniqueName="[Measures]" caption="Measures"/>
  </dimensions>
  <measureGroups count="5">
    <measureGroup name="lescatégories" caption="lescatégories"/>
    <measureGroup name="lesMois" caption="lesMois"/>
    <measureGroup name="LesRéférences" caption="LesRéférences"/>
    <measureGroup name="ListeAchat" caption="ListeAchat"/>
    <measureGroup name="ListeVente" caption="ListeVente"/>
  </measureGroups>
  <maps count="11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0"/>
    <map measureGroup="4" dimension="1"/>
    <map measureGroup="4" dimension="2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ulRahmane" refreshedDate="44997.501574884256" backgroundQuery="1" createdVersion="6" refreshedVersion="6" minRefreshableVersion="3" recordCount="0" supportSubquery="1" supportAdvancedDrill="1" xr:uid="{E8F4713F-2C36-4570-B554-8E800AF05670}">
  <cacheSource type="external" connectionId="1"/>
  <cacheFields count="6">
    <cacheField name="[ListeAchat].[Date].[Date]" caption="Date" numFmtId="0" hierarchy="4" level="1">
      <sharedItems containsSemiMixedTypes="0" containsNonDate="0" containsDate="1" containsString="0" minDate="2023-01-01T00:00:00" maxDate="2023-03-02T00:00:00" count="5">
        <d v="2023-01-01T00:00:00"/>
        <d v="2023-01-02T00:00:00"/>
        <d v="2023-01-03T00:00:00"/>
        <d v="2023-02-01T00:00:00"/>
        <d v="2023-03-01T00:00:00"/>
      </sharedItems>
    </cacheField>
    <cacheField name="[Measures].[Somme de total]" caption="Somme de total" numFmtId="0" hierarchy="33" level="32767"/>
    <cacheField name="[ListeAchat].[Date (mois)].[Date (mois)]" caption="Date (mois)" numFmtId="0" hierarchy="12" level="1">
      <sharedItems count="3">
        <s v="Jan"/>
        <s v="Feb"/>
        <s v="Mar"/>
      </sharedItems>
    </cacheField>
    <cacheField name="[LesRéférences].[Référence].[Référence]" caption="Référence" numFmtId="0" hierarchy="2" level="1">
      <sharedItems containsSemiMixedTypes="0" containsNonDate="0" containsString="0"/>
    </cacheField>
    <cacheField name="[lescatégories].[Catégorie].[Catégorie]" caption="Catégorie" numFmtId="0" level="1">
      <sharedItems containsSemiMixedTypes="0" containsNonDate="0" containsString="0"/>
    </cacheField>
    <cacheField name="Dummy0" numFmtId="0" hierarchy="35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36">
    <cacheHierarchy uniqueName="[lescatégories].[Catégorie]" caption="Catégorie" attribute="1" defaultMemberUniqueName="[lescatégories].[Catégorie].[All]" allUniqueName="[lescatégories].[Catégorie].[All]" dimensionUniqueName="[lescatégories]" displayFolder="" count="2" memberValueDatatype="130" unbalanced="0">
      <fieldsUsage count="2">
        <fieldUsage x="-1"/>
        <fieldUsage x="4"/>
      </fieldsUsage>
    </cacheHierarchy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éférences].[Référence]" caption="Référence" attribute="1" defaultMemberUniqueName="[LesRéférences].[Référence].[All]" allUniqueName="[LesRéférences].[Référence].[All]" dimensionUniqueName="[LesRéférences]" displayFolder="" count="2" memberValueDatatype="130" unbalanced="0">
      <fieldsUsage count="2">
        <fieldUsage x="-1"/>
        <fieldUsage x="3"/>
      </fieldsUsage>
    </cacheHierarchy>
    <cacheHierarchy uniqueName="[ListeAchat].[Numéro]" caption="Numéro" attribute="1" defaultMemberUniqueName="[ListeAchat].[Numéro].[All]" allUniqueName="[ListeAchat].[Numéro].[All]" dimensionUniqueName="[ListeAchat]" displayFolder="" count="0" memberValueDatatype="20" unbalanced="0"/>
    <cacheHierarchy uniqueName="[ListeAchat].[Date]" caption="Date" attribute="1" time="1" defaultMemberUniqueName="[ListeAchat].[Date].[All]" allUniqueName="[ListeAchat].[Date].[All]" dimensionUniqueName="[ListeAchat]" displayFolder="" count="2" memberValueDatatype="7" unbalanced="0">
      <fieldsUsage count="2">
        <fieldUsage x="-1"/>
        <fieldUsage x="0"/>
      </fieldsUsage>
    </cacheHierarchy>
    <cacheHierarchy uniqueName="[ListeAchat].[Référence]" caption="Référence" attribute="1" defaultMemberUniqueName="[ListeAchat].[Référence].[All]" allUniqueName="[ListeAchat].[Référence].[All]" dimensionUniqueName="[ListeAchat]" displayFolder="" count="0" memberValueDatatype="130" unbalanced="0"/>
    <cacheHierarchy uniqueName="[ListeAchat].[Désignation]" caption="Désignation" attribute="1" defaultMemberUniqueName="[ListeAchat].[Désignation].[All]" allUniqueName="[ListeAchat].[Désignation].[All]" dimensionUniqueName="[ListeAchat]" displayFolder="" count="0" memberValueDatatype="130" unbalanced="0"/>
    <cacheHierarchy uniqueName="[ListeAchat].[Catégorie]" caption="Catégorie" attribute="1" defaultMemberUniqueName="[ListeAchat].[Catégorie].[All]" allUniqueName="[ListeAchat].[Catégorie].[All]" dimensionUniqueName="[ListeAchat]" displayFolder="" count="0" memberValueDatatype="130" unbalanced="0"/>
    <cacheHierarchy uniqueName="[ListeAchat].[Unité]" caption="Unité" attribute="1" defaultMemberUniqueName="[ListeAchat].[Unité].[All]" allUniqueName="[ListeAchat].[Unité].[All]" dimensionUniqueName="[ListeAchat]" displayFolder="" count="0" memberValueDatatype="130" unbalanced="0"/>
    <cacheHierarchy uniqueName="[ListeAchat].[Prix d'achat]" caption="Prix d'achat" attribute="1" defaultMemberUniqueName="[ListeAchat].[Prix d'achat].[All]" allUniqueName="[ListeAchat].[Prix d'achat].[All]" dimensionUniqueName="[ListeAchat]" displayFolder="" count="0" memberValueDatatype="20" unbalanced="0"/>
    <cacheHierarchy uniqueName="[ListeAchat].[Quantité]" caption="Quantité" attribute="1" defaultMemberUniqueName="[ListeAchat].[Quantité].[All]" allUniqueName="[ListeAchat].[Quantité].[All]" dimensionUniqueName="[ListeAchat]" displayFolder="" count="0" memberValueDatatype="20" unbalanced="0"/>
    <cacheHierarchy uniqueName="[ListeAchat].[total]" caption="total" attribute="1" defaultMemberUniqueName="[ListeAchat].[total].[All]" allUniqueName="[ListeAchat].[total].[All]" dimensionUniqueName="[ListeAchat]" displayFolder="" count="0" memberValueDatatype="20" unbalanced="0"/>
    <cacheHierarchy uniqueName="[ListeAchat].[Date (mois)]" caption="Date (mois)" attribute="1" defaultMemberUniqueName="[ListeAchat].[Date (mois)].[All]" allUniqueName="[ListeAchat].[Date (mois)].[All]" dimensionUniqueName="[ListeAchat]" displayFolder="" count="2" memberValueDatatype="130" unbalanced="0">
      <fieldsUsage count="2">
        <fieldUsage x="-1"/>
        <fieldUsage x="2"/>
      </fieldsUsage>
    </cacheHierarchy>
    <cacheHierarchy uniqueName="[ListeVente].[Numéro]" caption="Numéro" attribute="1" defaultMemberUniqueName="[ListeVente].[Numéro].[All]" allUniqueName="[ListeVente].[Numéro].[All]" dimensionUniqueName="[ListeVente]" displayFolder="" count="0" memberValueDatatype="20" unbalanced="0"/>
    <cacheHierarchy uniqueName="[ListeVente].[Date]" caption="Date" attribute="1" time="1" defaultMemberUniqueName="[ListeVente].[Date].[All]" allUniqueName="[ListeVente].[Date].[All]" dimensionUniqueName="[ListeVente]" displayFolder="" count="0" memberValueDatatype="7" unbalanced="0"/>
    <cacheHierarchy uniqueName="[ListeVente].[Référence]" caption="Référence" attribute="1" defaultMemberUniqueName="[ListeVente].[Référence].[All]" allUniqueName="[ListeVente].[Référence].[All]" dimensionUniqueName="[ListeVente]" displayFolder="" count="0" memberValueDatatype="130" unbalanced="0"/>
    <cacheHierarchy uniqueName="[ListeVente].[Désignation]" caption="Désignation" attribute="1" defaultMemberUniqueName="[ListeVente].[Désignation].[All]" allUniqueName="[ListeVente].[Désignation].[All]" dimensionUniqueName="[ListeVente]" displayFolder="" count="0" memberValueDatatype="130" unbalanced="0"/>
    <cacheHierarchy uniqueName="[ListeVente].[Catégorie]" caption="Catégorie" attribute="1" defaultMemberUniqueName="[ListeVente].[Catégorie].[All]" allUniqueName="[ListeVente].[Catégorie].[All]" dimensionUniqueName="[ListeVente]" displayFolder="" count="0" memberValueDatatype="130" unbalanced="0"/>
    <cacheHierarchy uniqueName="[ListeVente].[Unité]" caption="Unité" attribute="1" defaultMemberUniqueName="[ListeVente].[Unité].[All]" allUniqueName="[ListeVente].[Unité].[All]" dimensionUniqueName="[ListeVente]" displayFolder="" count="0" memberValueDatatype="130" unbalanced="0"/>
    <cacheHierarchy uniqueName="[ListeVente].[Prix de Vente]" caption="Prix de Vente" attribute="1" defaultMemberUniqueName="[ListeVente].[Prix de Vente].[All]" allUniqueName="[ListeVente].[Prix de Vente].[All]" dimensionUniqueName="[ListeVente]" displayFolder="" count="0" memberValueDatatype="20" unbalanced="0"/>
    <cacheHierarchy uniqueName="[ListeVente].[Quantité]" caption="Quantité" attribute="1" defaultMemberUniqueName="[ListeVente].[Quantité].[All]" allUniqueName="[ListeVente].[Quantité].[All]" dimensionUniqueName="[ListeVente]" displayFolder="" count="0" memberValueDatatype="20" unbalanced="0"/>
    <cacheHierarchy uniqueName="[ListeVente].[total]" caption="total" attribute="1" defaultMemberUniqueName="[ListeVente].[total].[All]" allUniqueName="[ListeVente].[total].[All]" dimensionUniqueName="[ListeVente]" displayFolder="" count="0" memberValueDatatype="20" unbalanced="0"/>
    <cacheHierarchy uniqueName="[ListeVente].[Date (mois)]" caption="Date (mois)" attribute="1" defaultMemberUniqueName="[ListeVente].[Date (mois)].[All]" allUniqueName="[ListeVente].[Date (mois)].[All]" dimensionUniqueName="[ListeVente]" displayFolder="" count="0" memberValueDatatype="130" unbalanced="0"/>
    <cacheHierarchy uniqueName="[ListeAchat].[Date (index des mois)]" caption="Date (index des mois)" attribute="1" defaultMemberUniqueName="[ListeAchat].[Date (index des mois)].[All]" allUniqueName="[ListeAchat].[Date (index des mois)].[All]" dimensionUniqueName="[ListeAchat]" displayFolder="" count="0" memberValueDatatype="20" unbalanced="0" hidden="1"/>
    <cacheHierarchy uniqueName="[ListeVente].[Date (index des mois)]" caption="Date (index des mois)" attribute="1" defaultMemberUniqueName="[ListeVente].[Date (index des mois)].[All]" allUniqueName="[ListeVente].[Date (index des mois)].[All]" dimensionUniqueName="[ListeVente]" displayFolder="" count="0" memberValueDatatype="20" unbalanced="0" hidden="1"/>
    <cacheHierarchy uniqueName="[Measures].[__XL_Count ListeAchat]" caption="__XL_Count ListeAchat" measure="1" displayFolder="" measureGroup="ListeAchat" count="0" hidden="1"/>
    <cacheHierarchy uniqueName="[Measures].[__XL_Count ListeVente]" caption="__XL_Count ListeVente" measure="1" displayFolder="" measureGroup="ListeVente" count="0" hidden="1"/>
    <cacheHierarchy uniqueName="[Measures].[__XL_Count lescatégories]" caption="__XL_Count lescatégories" measure="1" displayFolder="" measureGroup="lescatégories" count="0" hidden="1"/>
    <cacheHierarchy uniqueName="[Measures].[__XL_Count LesRéférences]" caption="__XL_Count LesRéférences" measure="1" displayFolder="" measureGroup="LesRéfé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uantité 2]" caption="Somme de Quantité 2" measure="1" displayFolder="" measureGroup="ListeVente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e de total]" caption="Somme de total" measure="1" displayFolder="" measureGroup="ListeAcha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Dummy0" caption="Catégorie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6">
    <dimension name="lescatégories" uniqueName="[lescatégories]" caption="lescatégories"/>
    <dimension name="lesMois" uniqueName="[lesMois]" caption="lesMois"/>
    <dimension name="LesRéférences" uniqueName="[LesRéférences]" caption="LesRéférences"/>
    <dimension name="ListeAchat" uniqueName="[ListeAchat]" caption="ListeAchat"/>
    <dimension name="ListeVente" uniqueName="[ListeVente]" caption="ListeVente"/>
    <dimension measure="1" name="Measures" uniqueName="[Measures]" caption="Measures"/>
  </dimensions>
  <measureGroups count="5">
    <measureGroup name="lescatégories" caption="lescatégories"/>
    <measureGroup name="lesMois" caption="lesMois"/>
    <measureGroup name="LesRéférences" caption="LesRéférences"/>
    <measureGroup name="ListeAchat" caption="ListeAchat"/>
    <measureGroup name="ListeVente" caption="ListeVente"/>
  </measureGroups>
  <maps count="11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0"/>
    <map measureGroup="4" dimension="1"/>
    <map measureGroup="4" dimension="2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ulRahmane" refreshedDate="44997.50157615741" backgroundQuery="1" createdVersion="6" refreshedVersion="6" minRefreshableVersion="3" recordCount="0" supportSubquery="1" supportAdvancedDrill="1" xr:uid="{EC923471-2345-4538-A4CD-729D8F3AC13B}">
  <cacheSource type="external" connectionId="1"/>
  <cacheFields count="3">
    <cacheField name="[ListeVente].[Désignation].[Désignation]" caption="Désignation" numFmtId="0" hierarchy="16" level="1">
      <sharedItems count="3">
        <s v="A12"/>
        <s v="A13"/>
        <s v="telephone A10"/>
      </sharedItems>
    </cacheField>
    <cacheField name="[Measures].[Somme de total 2]" caption="Somme de total 2" numFmtId="0" hierarchy="34" level="32767"/>
    <cacheField name="[lesMois].[Mois].[Mois]" caption="Mois" numFmtId="0" hierarchy="1" level="1">
      <sharedItems containsSemiMixedTypes="0" containsNonDate="0" containsString="0"/>
    </cacheField>
  </cacheFields>
  <cacheHierarchies count="35">
    <cacheHierarchy uniqueName="[lescatégories].[Catégorie]" caption="Catégorie" attribute="1" defaultMemberUniqueName="[lescatégories].[Catégorie].[All]" allUniqueName="[lescatégories].[Catégorie].[All]" dimensionUniqueName="[lescaté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éférences].[Référence]" caption="Référence" attribute="1" defaultMemberUniqueName="[LesRéférences].[Référence].[All]" allUniqueName="[LesRéférences].[Référence].[All]" dimensionUniqueName="[LesRéférences]" displayFolder="" count="0" memberValueDatatype="130" unbalanced="0"/>
    <cacheHierarchy uniqueName="[ListeAchat].[Numéro]" caption="Numéro" attribute="1" defaultMemberUniqueName="[ListeAchat].[Numéro].[All]" allUniqueName="[ListeAchat].[Numéro].[All]" dimensionUniqueName="[ListeAchat]" displayFolder="" count="0" memberValueDatatype="20" unbalanced="0"/>
    <cacheHierarchy uniqueName="[ListeAchat].[Date]" caption="Date" attribute="1" time="1" defaultMemberUniqueName="[ListeAchat].[Date].[All]" allUniqueName="[ListeAchat].[Date].[All]" dimensionUniqueName="[ListeAchat]" displayFolder="" count="0" memberValueDatatype="7" unbalanced="0"/>
    <cacheHierarchy uniqueName="[ListeAchat].[Référence]" caption="Référence" attribute="1" defaultMemberUniqueName="[ListeAchat].[Référence].[All]" allUniqueName="[ListeAchat].[Référence].[All]" dimensionUniqueName="[ListeAchat]" displayFolder="" count="0" memberValueDatatype="130" unbalanced="0"/>
    <cacheHierarchy uniqueName="[ListeAchat].[Désignation]" caption="Désignation" attribute="1" defaultMemberUniqueName="[ListeAchat].[Désignation].[All]" allUniqueName="[ListeAchat].[Désignation].[All]" dimensionUniqueName="[ListeAchat]" displayFolder="" count="0" memberValueDatatype="130" unbalanced="0"/>
    <cacheHierarchy uniqueName="[ListeAchat].[Catégorie]" caption="Catégorie" attribute="1" defaultMemberUniqueName="[ListeAchat].[Catégorie].[All]" allUniqueName="[ListeAchat].[Catégorie].[All]" dimensionUniqueName="[ListeAchat]" displayFolder="" count="0" memberValueDatatype="130" unbalanced="0"/>
    <cacheHierarchy uniqueName="[ListeAchat].[Unité]" caption="Unité" attribute="1" defaultMemberUniqueName="[ListeAchat].[Unité].[All]" allUniqueName="[ListeAchat].[Unité].[All]" dimensionUniqueName="[ListeAchat]" displayFolder="" count="0" memberValueDatatype="130" unbalanced="0"/>
    <cacheHierarchy uniqueName="[ListeAchat].[Prix d'achat]" caption="Prix d'achat" attribute="1" defaultMemberUniqueName="[ListeAchat].[Prix d'achat].[All]" allUniqueName="[ListeAchat].[Prix d'achat].[All]" dimensionUniqueName="[ListeAchat]" displayFolder="" count="0" memberValueDatatype="20" unbalanced="0"/>
    <cacheHierarchy uniqueName="[ListeAchat].[Quantité]" caption="Quantité" attribute="1" defaultMemberUniqueName="[ListeAchat].[Quantité].[All]" allUniqueName="[ListeAchat].[Quantité].[All]" dimensionUniqueName="[ListeAchat]" displayFolder="" count="0" memberValueDatatype="20" unbalanced="0"/>
    <cacheHierarchy uniqueName="[ListeAchat].[total]" caption="total" attribute="1" defaultMemberUniqueName="[ListeAchat].[total].[All]" allUniqueName="[ListeAchat].[total].[All]" dimensionUniqueName="[ListeAchat]" displayFolder="" count="0" memberValueDatatype="20" unbalanced="0"/>
    <cacheHierarchy uniqueName="[ListeAchat].[Date (mois)]" caption="Date (mois)" attribute="1" defaultMemberUniqueName="[ListeAchat].[Date (mois)].[All]" allUniqueName="[ListeAchat].[Date (mois)].[All]" dimensionUniqueName="[ListeAchat]" displayFolder="" count="0" memberValueDatatype="130" unbalanced="0"/>
    <cacheHierarchy uniqueName="[ListeVente].[Numéro]" caption="Numéro" attribute="1" defaultMemberUniqueName="[ListeVente].[Numéro].[All]" allUniqueName="[ListeVente].[Numéro].[All]" dimensionUniqueName="[ListeVente]" displayFolder="" count="0" memberValueDatatype="20" unbalanced="0"/>
    <cacheHierarchy uniqueName="[ListeVente].[Date]" caption="Date" attribute="1" time="1" defaultMemberUniqueName="[ListeVente].[Date].[All]" allUniqueName="[ListeVente].[Date].[All]" dimensionUniqueName="[ListeVente]" displayFolder="" count="0" memberValueDatatype="7" unbalanced="0"/>
    <cacheHierarchy uniqueName="[ListeVente].[Référence]" caption="Référence" attribute="1" defaultMemberUniqueName="[ListeVente].[Référence].[All]" allUniqueName="[ListeVente].[Référence].[All]" dimensionUniqueName="[ListeVente]" displayFolder="" count="0" memberValueDatatype="130" unbalanced="0"/>
    <cacheHierarchy uniqueName="[ListeVente].[Désignation]" caption="Désignation" attribute="1" defaultMemberUniqueName="[ListeVente].[Désignation].[All]" allUniqueName="[ListeVente].[Désignation].[All]" dimensionUniqueName="[ListeVente]" displayFolder="" count="2" memberValueDatatype="130" unbalanced="0">
      <fieldsUsage count="2">
        <fieldUsage x="-1"/>
        <fieldUsage x="0"/>
      </fieldsUsage>
    </cacheHierarchy>
    <cacheHierarchy uniqueName="[ListeVente].[Catégorie]" caption="Catégorie" attribute="1" defaultMemberUniqueName="[ListeVente].[Catégorie].[All]" allUniqueName="[ListeVente].[Catégorie].[All]" dimensionUniqueName="[ListeVente]" displayFolder="" count="0" memberValueDatatype="130" unbalanced="0"/>
    <cacheHierarchy uniqueName="[ListeVente].[Unité]" caption="Unité" attribute="1" defaultMemberUniqueName="[ListeVente].[Unité].[All]" allUniqueName="[ListeVente].[Unité].[All]" dimensionUniqueName="[ListeVente]" displayFolder="" count="0" memberValueDatatype="130" unbalanced="0"/>
    <cacheHierarchy uniqueName="[ListeVente].[Prix de Vente]" caption="Prix de Vente" attribute="1" defaultMemberUniqueName="[ListeVente].[Prix de Vente].[All]" allUniqueName="[ListeVente].[Prix de Vente].[All]" dimensionUniqueName="[ListeVente]" displayFolder="" count="0" memberValueDatatype="20" unbalanced="0"/>
    <cacheHierarchy uniqueName="[ListeVente].[Quantité]" caption="Quantité" attribute="1" defaultMemberUniqueName="[ListeVente].[Quantité].[All]" allUniqueName="[ListeVente].[Quantité].[All]" dimensionUniqueName="[ListeVente]" displayFolder="" count="0" memberValueDatatype="20" unbalanced="0"/>
    <cacheHierarchy uniqueName="[ListeVente].[total]" caption="total" attribute="1" defaultMemberUniqueName="[ListeVente].[total].[All]" allUniqueName="[ListeVente].[total].[All]" dimensionUniqueName="[ListeVente]" displayFolder="" count="0" memberValueDatatype="20" unbalanced="0"/>
    <cacheHierarchy uniqueName="[ListeVente].[Date (mois)]" caption="Date (mois)" attribute="1" defaultMemberUniqueName="[ListeVente].[Date (mois)].[All]" allUniqueName="[ListeVente].[Date (mois)].[All]" dimensionUniqueName="[ListeVente]" displayFolder="" count="0" memberValueDatatype="130" unbalanced="0"/>
    <cacheHierarchy uniqueName="[ListeAchat].[Date (index des mois)]" caption="Date (index des mois)" attribute="1" defaultMemberUniqueName="[ListeAchat].[Date (index des mois)].[All]" allUniqueName="[ListeAchat].[Date (index des mois)].[All]" dimensionUniqueName="[ListeAchat]" displayFolder="" count="0" memberValueDatatype="20" unbalanced="0" hidden="1"/>
    <cacheHierarchy uniqueName="[ListeVente].[Date (index des mois)]" caption="Date (index des mois)" attribute="1" defaultMemberUniqueName="[ListeVente].[Date (index des mois)].[All]" allUniqueName="[ListeVente].[Date (index des mois)].[All]" dimensionUniqueName="[ListeVente]" displayFolder="" count="0" memberValueDatatype="20" unbalanced="0" hidden="1"/>
    <cacheHierarchy uniqueName="[Measures].[__XL_Count ListeAchat]" caption="__XL_Count ListeAchat" measure="1" displayFolder="" measureGroup="ListeAchat" count="0" hidden="1"/>
    <cacheHierarchy uniqueName="[Measures].[__XL_Count ListeVente]" caption="__XL_Count ListeVente" measure="1" displayFolder="" measureGroup="ListeVente" count="0" hidden="1"/>
    <cacheHierarchy uniqueName="[Measures].[__XL_Count lescatégories]" caption="__XL_Count lescatégories" measure="1" displayFolder="" measureGroup="lescatégories" count="0" hidden="1"/>
    <cacheHierarchy uniqueName="[Measures].[__XL_Count LesRéférences]" caption="__XL_Count LesRéférences" measure="1" displayFolder="" measureGroup="LesRéfé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uantité 2]" caption="Somme de Quantité 2" measure="1" displayFolder="" measureGroup="ListeVente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e de total]" caption="Somme de total" measure="1" displayFolder="" measureGroup="ListeAchat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</cacheHierarchies>
  <kpis count="0"/>
  <dimensions count="6">
    <dimension name="lescatégories" uniqueName="[lescatégories]" caption="lescatégories"/>
    <dimension name="lesMois" uniqueName="[lesMois]" caption="lesMois"/>
    <dimension name="LesRéférences" uniqueName="[LesRéférences]" caption="LesRéférences"/>
    <dimension name="ListeAchat" uniqueName="[ListeAchat]" caption="ListeAchat"/>
    <dimension name="ListeVente" uniqueName="[ListeVente]" caption="ListeVente"/>
    <dimension measure="1" name="Measures" uniqueName="[Measures]" caption="Measures"/>
  </dimensions>
  <measureGroups count="5">
    <measureGroup name="lescatégories" caption="lescatégories"/>
    <measureGroup name="lesMois" caption="lesMois"/>
    <measureGroup name="LesRéférences" caption="LesRéférences"/>
    <measureGroup name="ListeAchat" caption="ListeAchat"/>
    <measureGroup name="ListeVente" caption="ListeVente"/>
  </measureGroups>
  <maps count="11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0"/>
    <map measureGroup="4" dimension="1"/>
    <map measureGroup="4" dimension="2"/>
    <map measureGroup="4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ulRahmane" refreshedDate="44997.501579629628" createdVersion="6" refreshedVersion="6" minRefreshableVersion="3" recordCount="6" xr:uid="{FE9F2C7D-107E-40E5-971C-53C3E8B48A81}">
  <cacheSource type="worksheet">
    <worksheetSource name="ListeIventaire"/>
  </cacheSource>
  <cacheFields count="12">
    <cacheField name="Référence" numFmtId="0">
      <sharedItems/>
    </cacheField>
    <cacheField name="Désignation" numFmtId="0">
      <sharedItems count="6">
        <s v="Telephone A20"/>
        <s v="A30"/>
        <s v="A13"/>
        <s v="A12"/>
        <s v="A50"/>
        <s v="S8"/>
      </sharedItems>
    </cacheField>
    <cacheField name="Catégorie" numFmtId="0">
      <sharedItems count="2">
        <s v="Smartphone"/>
        <s v="Smart"/>
      </sharedItems>
    </cacheField>
    <cacheField name="Unité" numFmtId="0">
      <sharedItems/>
    </cacheField>
    <cacheField name="Seuil D'alert" numFmtId="0">
      <sharedItems containsSemiMixedTypes="0" containsString="0" containsNumber="1" containsInteger="1" minValue="5" maxValue="10"/>
    </cacheField>
    <cacheField name="Stock initial" numFmtId="0">
      <sharedItems containsSemiMixedTypes="0" containsString="0" containsNumber="1" containsInteger="1" minValue="0" maxValue="25"/>
    </cacheField>
    <cacheField name="Entrée" numFmtId="0">
      <sharedItems containsSemiMixedTypes="0" containsString="0" containsNumber="1" containsInteger="1" minValue="0" maxValue="10"/>
    </cacheField>
    <cacheField name="Sortie" numFmtId="0">
      <sharedItems containsSemiMixedTypes="0" containsString="0" containsNumber="1" containsInteger="1" minValue="0" maxValue="8"/>
    </cacheField>
    <cacheField name="Stock final" numFmtId="0">
      <sharedItems containsSemiMixedTypes="0" containsString="0" containsNumber="1" containsInteger="1" minValue="0" maxValue="25"/>
    </cacheField>
    <cacheField name="CUMP" numFmtId="164">
      <sharedItems containsMixedTypes="1" containsNumber="1" containsInteger="1" minValue="850000" maxValue="1300000"/>
    </cacheField>
    <cacheField name="Valeur" numFmtId="164">
      <sharedItems containsMixedTypes="1" containsNumber="1" containsInteger="1" minValue="2100000" maxValue="31200000"/>
    </cacheField>
    <cacheField name="Statu" numFmtId="0">
      <sharedItems count="3">
        <s v="Stock Normal"/>
        <s v="Stock Non Disponible"/>
        <s v="stock faibl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ulRahmane" refreshedDate="44997.501543402781" backgroundQuery="1" createdVersion="3" refreshedVersion="6" minRefreshableVersion="3" recordCount="0" supportSubquery="1" supportAdvancedDrill="1" xr:uid="{DB9658FB-18FF-45A9-8974-C1331ACA0AB7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5">
    <cacheHierarchy uniqueName="[lescatégories].[Catégorie]" caption="Catégorie" attribute="1" defaultMemberUniqueName="[lescatégories].[Catégorie].[All]" allUniqueName="[lescatégories].[Catégorie].[All]" dimensionUniqueName="[lescatégories]" displayFolder="" count="2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/>
    <cacheHierarchy uniqueName="[LesRéférences].[Référence]" caption="Référence" attribute="1" defaultMemberUniqueName="[LesRéférences].[Référence].[All]" allUniqueName="[LesRéférences].[Référence].[All]" dimensionUniqueName="[LesRéférences]" displayFolder="" count="2" memberValueDatatype="130" unbalanced="0"/>
    <cacheHierarchy uniqueName="[ListeAchat].[Numéro]" caption="Numéro" attribute="1" defaultMemberUniqueName="[ListeAchat].[Numéro].[All]" allUniqueName="[ListeAchat].[Numéro].[All]" dimensionUniqueName="[ListeAchat]" displayFolder="" count="0" memberValueDatatype="20" unbalanced="0"/>
    <cacheHierarchy uniqueName="[ListeAchat].[Date]" caption="Date" attribute="1" time="1" defaultMemberUniqueName="[ListeAchat].[Date].[All]" allUniqueName="[ListeAchat].[Date].[All]" dimensionUniqueName="[ListeAchat]" displayFolder="" count="0" memberValueDatatype="7" unbalanced="0"/>
    <cacheHierarchy uniqueName="[ListeAchat].[Référence]" caption="Référence" attribute="1" defaultMemberUniqueName="[ListeAchat].[Référence].[All]" allUniqueName="[ListeAchat].[Référence].[All]" dimensionUniqueName="[ListeAchat]" displayFolder="" count="0" memberValueDatatype="130" unbalanced="0"/>
    <cacheHierarchy uniqueName="[ListeAchat].[Désignation]" caption="Désignation" attribute="1" defaultMemberUniqueName="[ListeAchat].[Désignation].[All]" allUniqueName="[ListeAchat].[Désignation].[All]" dimensionUniqueName="[ListeAchat]" displayFolder="" count="0" memberValueDatatype="130" unbalanced="0"/>
    <cacheHierarchy uniqueName="[ListeAchat].[Catégorie]" caption="Catégorie" attribute="1" defaultMemberUniqueName="[ListeAchat].[Catégorie].[All]" allUniqueName="[ListeAchat].[Catégorie].[All]" dimensionUniqueName="[ListeAchat]" displayFolder="" count="0" memberValueDatatype="130" unbalanced="0"/>
    <cacheHierarchy uniqueName="[ListeAchat].[Unité]" caption="Unité" attribute="1" defaultMemberUniqueName="[ListeAchat].[Unité].[All]" allUniqueName="[ListeAchat].[Unité].[All]" dimensionUniqueName="[ListeAchat]" displayFolder="" count="0" memberValueDatatype="130" unbalanced="0"/>
    <cacheHierarchy uniqueName="[ListeAchat].[Prix d'achat]" caption="Prix d'achat" attribute="1" defaultMemberUniqueName="[ListeAchat].[Prix d'achat].[All]" allUniqueName="[ListeAchat].[Prix d'achat].[All]" dimensionUniqueName="[ListeAchat]" displayFolder="" count="0" memberValueDatatype="20" unbalanced="0"/>
    <cacheHierarchy uniqueName="[ListeAchat].[Quantité]" caption="Quantité" attribute="1" defaultMemberUniqueName="[ListeAchat].[Quantité].[All]" allUniqueName="[ListeAchat].[Quantité].[All]" dimensionUniqueName="[ListeAchat]" displayFolder="" count="0" memberValueDatatype="20" unbalanced="0"/>
    <cacheHierarchy uniqueName="[ListeAchat].[total]" caption="total" attribute="1" defaultMemberUniqueName="[ListeAchat].[total].[All]" allUniqueName="[ListeAchat].[total].[All]" dimensionUniqueName="[ListeAchat]" displayFolder="" count="0" memberValueDatatype="20" unbalanced="0"/>
    <cacheHierarchy uniqueName="[ListeAchat].[Date (mois)]" caption="Date (mois)" attribute="1" defaultMemberUniqueName="[ListeAchat].[Date (mois)].[All]" allUniqueName="[ListeAchat].[Date (mois)].[All]" dimensionUniqueName="[ListeAchat]" displayFolder="" count="0" memberValueDatatype="130" unbalanced="0"/>
    <cacheHierarchy uniqueName="[ListeVente].[Numéro]" caption="Numéro" attribute="1" defaultMemberUniqueName="[ListeVente].[Numéro].[All]" allUniqueName="[ListeVente].[Numéro].[All]" dimensionUniqueName="[ListeVente]" displayFolder="" count="0" memberValueDatatype="20" unbalanced="0"/>
    <cacheHierarchy uniqueName="[ListeVente].[Date]" caption="Date" attribute="1" time="1" defaultMemberUniqueName="[ListeVente].[Date].[All]" allUniqueName="[ListeVente].[Date].[All]" dimensionUniqueName="[ListeVente]" displayFolder="" count="0" memberValueDatatype="7" unbalanced="0"/>
    <cacheHierarchy uniqueName="[ListeVente].[Référence]" caption="Référence" attribute="1" defaultMemberUniqueName="[ListeVente].[Référence].[All]" allUniqueName="[ListeVente].[Référence].[All]" dimensionUniqueName="[ListeVente]" displayFolder="" count="0" memberValueDatatype="130" unbalanced="0"/>
    <cacheHierarchy uniqueName="[ListeVente].[Désignation]" caption="Désignation" attribute="1" defaultMemberUniqueName="[ListeVente].[Désignation].[All]" allUniqueName="[ListeVente].[Désignation].[All]" dimensionUniqueName="[ListeVente]" displayFolder="" count="0" memberValueDatatype="130" unbalanced="0"/>
    <cacheHierarchy uniqueName="[ListeVente].[Catégorie]" caption="Catégorie" attribute="1" defaultMemberUniqueName="[ListeVente].[Catégorie].[All]" allUniqueName="[ListeVente].[Catégorie].[All]" dimensionUniqueName="[ListeVente]" displayFolder="" count="0" memberValueDatatype="130" unbalanced="0"/>
    <cacheHierarchy uniqueName="[ListeVente].[Unité]" caption="Unité" attribute="1" defaultMemberUniqueName="[ListeVente].[Unité].[All]" allUniqueName="[ListeVente].[Unité].[All]" dimensionUniqueName="[ListeVente]" displayFolder="" count="0" memberValueDatatype="130" unbalanced="0"/>
    <cacheHierarchy uniqueName="[ListeVente].[Prix de Vente]" caption="Prix de Vente" attribute="1" defaultMemberUniqueName="[ListeVente].[Prix de Vente].[All]" allUniqueName="[ListeVente].[Prix de Vente].[All]" dimensionUniqueName="[ListeVente]" displayFolder="" count="0" memberValueDatatype="20" unbalanced="0"/>
    <cacheHierarchy uniqueName="[ListeVente].[Quantité]" caption="Quantité" attribute="1" defaultMemberUniqueName="[ListeVente].[Quantité].[All]" allUniqueName="[ListeVente].[Quantité].[All]" dimensionUniqueName="[ListeVente]" displayFolder="" count="0" memberValueDatatype="20" unbalanced="0"/>
    <cacheHierarchy uniqueName="[ListeVente].[total]" caption="total" attribute="1" defaultMemberUniqueName="[ListeVente].[total].[All]" allUniqueName="[ListeVente].[total].[All]" dimensionUniqueName="[ListeVente]" displayFolder="" count="0" memberValueDatatype="20" unbalanced="0"/>
    <cacheHierarchy uniqueName="[ListeVente].[Date (mois)]" caption="Date (mois)" attribute="1" defaultMemberUniqueName="[ListeVente].[Date (mois)].[All]" allUniqueName="[ListeVente].[Date (mois)].[All]" dimensionUniqueName="[ListeVente]" displayFolder="" count="0" memberValueDatatype="130" unbalanced="0"/>
    <cacheHierarchy uniqueName="[ListeAchat].[Date (index des mois)]" caption="Date (index des mois)" attribute="1" defaultMemberUniqueName="[ListeAchat].[Date (index des mois)].[All]" allUniqueName="[ListeAchat].[Date (index des mois)].[All]" dimensionUniqueName="[ListeAchat]" displayFolder="" count="0" memberValueDatatype="20" unbalanced="0" hidden="1"/>
    <cacheHierarchy uniqueName="[ListeVente].[Date (index des mois)]" caption="Date (index des mois)" attribute="1" defaultMemberUniqueName="[ListeVente].[Date (index des mois)].[All]" allUniqueName="[ListeVente].[Date (index des mois)].[All]" dimensionUniqueName="[ListeVente]" displayFolder="" count="0" memberValueDatatype="20" unbalanced="0" hidden="1"/>
    <cacheHierarchy uniqueName="[Measures].[__XL_Count ListeAchat]" caption="__XL_Count ListeAchat" measure="1" displayFolder="" measureGroup="ListeAchat" count="0" hidden="1"/>
    <cacheHierarchy uniqueName="[Measures].[__XL_Count ListeVente]" caption="__XL_Count ListeVente" measure="1" displayFolder="" measureGroup="ListeVente" count="0" hidden="1"/>
    <cacheHierarchy uniqueName="[Measures].[__XL_Count lescatégories]" caption="__XL_Count lescatégories" measure="1" displayFolder="" measureGroup="lescatégories" count="0" hidden="1"/>
    <cacheHierarchy uniqueName="[Measures].[__XL_Count LesRéférences]" caption="__XL_Count LesRéférences" measure="1" displayFolder="" measureGroup="LesRéférences" count="0" hidden="1"/>
    <cacheHierarchy uniqueName="[Measures].[__XL_Count lesMois]" caption="__XL_Count lesMois" measure="1" displayFolder="" measureGroup="lesMois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Quantité 2]" caption="Somme de Quantité 2" measure="1" displayFolder="" measureGroup="ListeVente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omme de total]" caption="Somme de total" measure="1" displayFolder="" measureGroup="ListeAchat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66993599"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s v="A20"/>
    <x v="0"/>
    <x v="0"/>
    <s v="1pièce"/>
    <n v="5"/>
    <n v="10"/>
    <n v="10"/>
    <n v="5"/>
    <n v="15"/>
    <n v="850000"/>
    <n v="12750000"/>
    <x v="0"/>
  </r>
  <r>
    <s v="A30"/>
    <x v="1"/>
    <x v="0"/>
    <s v="1 pièce"/>
    <n v="5"/>
    <n v="25"/>
    <n v="0"/>
    <n v="0"/>
    <n v="25"/>
    <n v="900000"/>
    <n v="22500000"/>
    <x v="0"/>
  </r>
  <r>
    <s v="A13"/>
    <x v="2"/>
    <x v="1"/>
    <s v="1pièce"/>
    <n v="5"/>
    <n v="22"/>
    <n v="10"/>
    <n v="8"/>
    <n v="24"/>
    <n v="1300000"/>
    <n v="31200000"/>
    <x v="0"/>
  </r>
  <r>
    <s v="A12"/>
    <x v="3"/>
    <x v="1"/>
    <s v="1 pièce"/>
    <n v="10"/>
    <n v="14"/>
    <n v="9"/>
    <n v="7"/>
    <n v="16"/>
    <n v="850000"/>
    <n v="13600000"/>
    <x v="0"/>
  </r>
  <r>
    <s v="A50"/>
    <x v="4"/>
    <x v="0"/>
    <s v="1 pièce"/>
    <n v="10"/>
    <n v="0"/>
    <n v="0"/>
    <n v="0"/>
    <n v="0"/>
    <s v=""/>
    <s v=""/>
    <x v="1"/>
  </r>
  <r>
    <s v="S8"/>
    <x v="5"/>
    <x v="0"/>
    <s v="1 pièce"/>
    <n v="5"/>
    <n v="2"/>
    <n v="0"/>
    <n v="0"/>
    <n v="2"/>
    <n v="1050000"/>
    <n v="210000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02B15E-E2A0-43CD-AC78-1955D22E616B}" name="top3" cacheId="822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3">
  <location ref="A64:B68" firstHeaderRow="1" firstDataRow="1" firstDataCol="1"/>
  <pivotFields count="3">
    <pivotField axis="axisRow" allDrilled="1" subtotalTop="0" showAll="0" measureFilter="1" sortType="ascending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 v="2"/>
    </i>
    <i>
      <x/>
    </i>
    <i>
      <x v="1"/>
    </i>
    <i t="grand">
      <x/>
    </i>
  </rowItems>
  <colItems count="1">
    <i/>
  </colItems>
  <dataFields count="1">
    <dataField name="Somme de total" fld="1" baseField="0" baseItem="0" numFmtId="164"/>
  </dataFields>
  <formats count="1">
    <format dxfId="5">
      <pivotArea outline="0" collapsedLevelsAreSubtotals="1" fieldPosition="0"/>
    </format>
  </format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Hierarchies count="35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count" id="1" iMeasureHier="34">
      <autoFilter ref="A1">
        <filterColumn colId="0">
          <top10 val="3" filterVal="3"/>
        </filterColumn>
      </autoFilter>
    </filter>
  </filters>
  <rowHierarchiesUsage count="1">
    <rowHierarchyUsage hierarchyUsage="1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lasseur1!ListeVente">
        <x15:activeTabTopLevelEntity name="[ListeVent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8FCA5A-B679-44A9-8839-0F9D95BC651F}" name="Valeursortieparmois" cacheId="816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3">
  <location ref="A19:C23" firstHeaderRow="0" firstDataRow="1" firstDataCol="1"/>
  <pivotFields count="6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xis="axisRow" allDrilled="1" subtotalTop="0" showAll="0" dataSourceSort="1" defaultSubtotal="0">
      <items count="3">
        <item x="0" e="0"/>
        <item x="1" e="0"/>
        <item x="2" e="0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2">
    <field x="2"/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total" fld="1" baseField="0" baseItem="0" numFmtId="164"/>
    <dataField name="Somme de total2" fld="5" baseField="0" baseItem="0">
      <extLst>
        <ext xmlns:x14="http://schemas.microsoft.com/office/spreadsheetml/2009/9/main" uri="{E15A36E0-9728-4e99-A89B-3F7291B0FE68}">
          <x14:dataField sourceField="1" uniqueName="[__Xl2].[Measures].[Somme de total 2]"/>
        </ext>
      </extLst>
    </dataField>
  </dataFields>
  <formats count="1">
    <format dxfId="6">
      <pivotArea outline="0" collapsedLevelsAreSubtotals="1" fieldPosition="0"/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Hierarchies count="36"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2">
    <rowHierarchyUsage hierarchyUsage="22"/>
    <rowHierarchyUsage hierarchyUsage="1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lasseur1!ListeVente">
        <x15:activeTabTopLevelEntity name="[ListeVent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59BBEA-B4CF-4568-980A-2AFE1130FF8C}" name="Valeurstockcatégorie" cacheId="827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3">
  <location ref="A39:B42" firstHeaderRow="1" firstDataRow="1" firstDataCol="1"/>
  <pivotFields count="12"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numFmtId="164" showAll="0"/>
    <pivotField dataField="1" numFmtId="164"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Somme de Valeur" fld="10" baseField="0" baseItem="0" numFmtId="164"/>
  </dataFields>
  <formats count="1">
    <format dxfId="7">
      <pivotArea outline="0" collapsedLevelsAreSubtotals="1" fieldPosition="0"/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F5D290-C9CD-40AF-A296-9136236A380E}" name="valeurentréeparmois" cacheId="819" applyNumberFormats="0" applyBorderFormats="0" applyFontFormats="0" applyPatternFormats="0" applyAlignmentFormats="0" applyWidthHeightFormats="1" dataCaption="Valeurs" updatedVersion="6" minRefreshableVersion="3" useAutoFormatting="1" subtotalHiddenItems="1" itemPrintTitles="1" createdVersion="6" indent="0" outline="1" outlineData="1" multipleFieldFilters="0" chartFormat="3">
  <location ref="A13:C17" firstHeaderRow="0" firstDataRow="1" firstDataCol="1"/>
  <pivotFields count="6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axis="axisRow" allDrilled="1" subtotalTop="0" showAll="0" dataSourceSort="1" defaultSubtotal="0">
      <items count="3">
        <item x="0" e="0"/>
        <item x="1" e="0"/>
        <item x="2" e="0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2">
    <field x="2"/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total" fld="1" baseField="0" baseItem="0" numFmtId="164"/>
    <dataField name="Somme de total2" fld="5" baseField="0" baseItem="0">
      <extLst>
        <ext xmlns:x14="http://schemas.microsoft.com/office/spreadsheetml/2009/9/main" uri="{E15A36E0-9728-4e99-A89B-3F7291B0FE68}">
          <x14:dataField sourceField="1" uniqueName="[__Xl2].[Measures].[Somme de total]"/>
        </ext>
      </extLst>
    </dataField>
  </dataFields>
  <formats count="1">
    <format dxfId="8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6"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2">
    <rowHierarchyUsage hierarchyUsage="12"/>
    <rowHierarchyUsage hierarchyUsage="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lasseur1!ListeAchat">
        <x15:activeTabTopLevelEntity name="[ListeAchat]"/>
        <x15:activeTabTopLevelEntity name="[LesRéférences]"/>
        <x15:activeTabTopLevelEntity name="[lescatégori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850E8-E130-4B3A-BCE3-26249F0A0CCB}" name="totalstockcatégorie" cacheId="827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3">
  <location ref="A34:B37" firstHeaderRow="1" firstDataRow="1" firstDataCol="1"/>
  <pivotFields count="12"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numFmtId="164" showAll="0"/>
    <pivotField numFmtId="164"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Somme de Stock final" fld="8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EF8B17-6DD5-492E-A57A-AB73B20C3CC9}" name="ValeurSortiecatégorie" cacheId="807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4">
  <location ref="A59:B62" firstHeaderRow="1" firstDataRow="1" firstDataCol="1"/>
  <pivotFields count="3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omme de total" fld="1" baseField="0" baseItem="0" numFmtId="164"/>
  </dataFields>
  <formats count="1">
    <format dxfId="9">
      <pivotArea outline="0" collapsedLevelsAreSubtotals="1" fieldPosition="0"/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Hierarchies count="35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lasseur1!ListeVente">
        <x15:activeTabTopLevelEntity name="[ListeVent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631D14-A528-4096-B159-84CA239B37E7}" name="TC3" cacheId="795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31:B32" firstHeaderRow="0" firstDataRow="1" firstDataCol="0"/>
  <pivotFields count="5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Quantité" fld="0" baseField="0" baseItem="0"/>
    <dataField name="Somme de total" fld="1" baseField="0" baseItem="0" numFmtId="164"/>
  </dataFields>
  <formats count="1">
    <format dxfId="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Hierarchies count="35"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lasseur1!ListeVente">
        <x15:activeTabTopLevelEntity name="[ListeVente]"/>
        <x15:activeTabTopLevelEntity name="[LesRéférences]"/>
        <x15:activeTabTopLevelEntity name="[lescatégori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DB844B-0771-4FD3-8C4E-7E0E6800A643}" name="Stocksortieparmois" cacheId="813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7:B11" firstHeaderRow="1" firstDataRow="1" firstDataCol="1"/>
  <pivotFields count="5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xis="axisRow" allDrilled="1" subtotalTop="0" showAll="0" dataSourceSort="1" defaultSubtotal="0">
      <items count="3">
        <item x="0" e="0"/>
        <item x="1" e="0"/>
        <item x="2" e="0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2">
    <field x="2"/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me de Quantité" fld="1" baseField="0" baseItem="0"/>
  </dataFields>
  <pivotHierarchies count="35"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2"/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lasseur1!ListeVente">
        <x15:activeTabTopLevelEntity name="[ListeVent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151CC6-5859-40BB-B2EA-3D2816B125DB}" name="SortieCatégorie" cacheId="80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3">
  <location ref="A54:B57" firstHeaderRow="1" firstDataRow="1" firstDataCol="1"/>
  <pivotFields count="3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omme de Quantité" fld="1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Hierarchies count="35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lasseur1!ListeVente">
        <x15:activeTabTopLevelEntity name="[ListeVent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985687-1794-4474-9319-749842D04279}" name="TC2" cacheId="792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28:B29" firstHeaderRow="0" firstDataRow="1" firstDataCol="0"/>
  <pivotFields count="5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Quantité" fld="0" baseField="0" baseItem="0"/>
    <dataField name="Somme de total" fld="1" baseField="0" baseItem="0" numFmtId="164"/>
  </dataFields>
  <formats count="1">
    <format dxfId="1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Hierarchies count="35"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lasseur1!ListeAchat">
        <x15:activeTabTopLevelEntity name="[ListeAchat]"/>
        <x15:activeTabTopLevelEntity name="[LesRéférences]"/>
        <x15:activeTabTopLevelEntity name="[lescatégories]"/>
        <x15:activeTabTopLevelEntity name="[lesMoi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8391AF-95F7-4B32-8E43-09AB97D0991C}" name="Valeurentréecatégorie" cacheId="804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3">
  <location ref="A49:B52" firstHeaderRow="1" firstDataRow="1" firstDataCol="1"/>
  <pivotFields count="3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omme de total" fld="1" baseField="0" baseItem="0" numFmtId="164"/>
  </dataFields>
  <formats count="1">
    <format dxfId="12">
      <pivotArea outline="0" collapsedLevelsAreSubtotals="1" fieldPosition="0"/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Hierarchies count="35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lasseur1!ListeAchat">
        <x15:activeTabTopLevelEntity name="[ListeAcha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3C3464-58C9-442F-A319-0568ED8AE657}" name="Stockentréeparmois" cacheId="810" applyNumberFormats="0" applyBorderFormats="0" applyFontFormats="0" applyPatternFormats="0" applyAlignmentFormats="0" applyWidthHeightFormats="1" dataCaption="Valeurs" updatedVersion="6" minRefreshableVersion="3" useAutoFormatting="1" subtotalHiddenItems="1" itemPrintTitles="1" createdVersion="6" indent="0" outline="1" outlineData="1" multipleFieldFilters="0">
  <location ref="A1:B5" firstHeaderRow="1" firstDataRow="1" firstDataCol="1"/>
  <pivotFields count="5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axis="axisRow" allDrilled="1" subtotalTop="0" showAll="0" dataSourceSort="1" defaultSubtotal="0">
      <items count="3">
        <item x="0" e="0"/>
        <item x="1" e="0"/>
        <item x="2" e="0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2">
    <field x="2"/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me de Quantité" fld="1" baseField="0" baseItem="0"/>
  </dataFields>
  <pivotHierarchies count="35"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2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lasseur1!ListeAchat">
        <x15:activeTabTopLevelEntity name="[ListeAcha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0C633B-1D7C-4F69-BB52-163BB0F2386C}" name="référencestockfinal" cacheId="827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71:B74" firstHeaderRow="1" firstDataRow="1" firstDataCol="1" rowPageCount="1" colPageCount="1"/>
  <pivotFields count="12">
    <pivotField showAll="0"/>
    <pivotField axis="axisRow" showAll="0">
      <items count="7">
        <item x="3"/>
        <item x="2"/>
        <item x="1"/>
        <item x="0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numFmtId="164" showAll="0"/>
    <pivotField numFmtId="164" showAll="0"/>
    <pivotField axis="axisPage" multipleItemSelectionAllowed="1" showAll="0">
      <items count="4">
        <item h="1" x="0"/>
        <item x="1"/>
        <item x="2"/>
        <item t="default"/>
      </items>
    </pivotField>
  </pivotFields>
  <rowFields count="1">
    <field x="1"/>
  </rowFields>
  <rowItems count="3">
    <i>
      <x v="4"/>
    </i>
    <i>
      <x v="5"/>
    </i>
    <i t="grand">
      <x/>
    </i>
  </rowItems>
  <colItems count="1">
    <i/>
  </colItems>
  <pageFields count="1">
    <pageField fld="11" hier="-1"/>
  </pageFields>
  <dataFields count="1">
    <dataField name="Somme de Stock final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4FCB49-4EEB-4345-9352-3A62A087D07E}" name="Tableau croisé dynamique5" cacheId="827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25:B26" firstHeaderRow="0" firstDataRow="1" firstDataCol="0"/>
  <pivotFields count="12"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4" showAll="0"/>
    <pivotField dataField="1" numFmtId="164" showAll="0"/>
    <pivotField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Stock final" fld="8" baseField="0" baseItem="0"/>
    <dataField name="Somme de Valeur" fld="10" baseField="0" baseItem="0" numFmtId="164"/>
  </dataFields>
  <formats count="1">
    <format dxfId="1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AF6A7F-DD43-41BB-A729-EDA8D051AA81}" name="entrérCatégorie" cacheId="798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3">
  <location ref="A44:B47" firstHeaderRow="1" firstDataRow="1" firstDataCol="1"/>
  <pivotFields count="3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omme de Quantité" fld="1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Hierarchies count="35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lasseur1!ListeAchat">
        <x15:activeTabTopLevelEntity name="[ListeAcha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Référence" xr10:uid="{3DDF3D75-0F6A-4ACE-8717-7B497B34C844}" sourceName="[LesRéférences].[Référence]">
  <pivotTables>
    <pivotTable tabId="5" name="TC2"/>
    <pivotTable tabId="5" name="TC3"/>
    <pivotTable tabId="5" name="Stockentréeparmois"/>
    <pivotTable tabId="5" name="Stocksortieparmois"/>
    <pivotTable tabId="5" name="Valeursortieparmois"/>
    <pivotTable tabId="5" name="valeurentréeparmois"/>
  </pivotTables>
  <data>
    <olap pivotCacheId="66993599">
      <levels count="2">
        <level uniqueName="[LesRéférences].[Référence].[(All)]" sourceCaption="(All)" count="0"/>
        <level uniqueName="[LesRéférences].[Référence].[Référence]" sourceCaption="Référence" count="5">
          <ranges>
            <range startItem="0">
              <i n="[LesRéférences].[Référence].&amp;[A10]" c="A10"/>
              <i n="[LesRéférences].[Référence].&amp;[A12]" c="A12"/>
              <i n="[LesRéférences].[Référence].&amp;[A13]" c="A13"/>
              <i n="[LesRéférences].[Référence].&amp;[A20]" c="A20"/>
              <i n="[LesRéférences].[Référence].&amp;[A30]" c="A30" nd="1"/>
            </range>
          </ranges>
        </level>
      </levels>
      <selections count="1">
        <selection n="[LesRéférences].[Référence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tégorie" xr10:uid="{3EC3258F-9616-4076-A6FA-319C0703246E}" sourceName="[lescatégories].[Catégorie]">
  <pivotTables>
    <pivotTable tabId="5" name="TC2"/>
    <pivotTable tabId="5" name="TC3"/>
    <pivotTable tabId="5" name="Stockentréeparmois"/>
    <pivotTable tabId="5" name="Stocksortieparmois"/>
    <pivotTable tabId="5" name="valeurentréeparmois"/>
    <pivotTable tabId="5" name="Valeursortieparmois"/>
  </pivotTables>
  <data>
    <olap pivotCacheId="66993599">
      <levels count="2">
        <level uniqueName="[lescatégories].[Catégorie].[(All)]" sourceCaption="(All)" count="0"/>
        <level uniqueName="[lescatégories].[Catégorie].[Catégorie]" sourceCaption="Catégorie" count="2">
          <ranges>
            <range startItem="0">
              <i n="[lescatégories].[Catégorie].&amp;[Smart]" c="Smart"/>
              <i n="[lescatégories].[Catégorie].&amp;[Smartphone]" c="Smartphone"/>
            </range>
          </ranges>
        </level>
      </levels>
      <selections count="1">
        <selection n="[lescatégories].[Catégorie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is" xr10:uid="{EADBD9F5-253D-439D-8372-B9C3EC985484}" sourceName="[lesMois].[Mois]">
  <pivotTables>
    <pivotTable tabId="5" name="TC2"/>
    <pivotTable tabId="5" name="TC3"/>
    <pivotTable tabId="5" name="top3"/>
    <pivotTable tabId="5" name="entrérCatégorie"/>
    <pivotTable tabId="5" name="SortieCatégorie"/>
    <pivotTable tabId="5" name="Valeurentréecatégorie"/>
    <pivotTable tabId="5" name="ValeurSortiecatégorie"/>
  </pivotTables>
  <data>
    <olap pivotCacheId="66993599">
      <levels count="2">
        <level uniqueName="[lesMois].[Mois].[(All)]" sourceCaption="(All)" count="0"/>
        <level uniqueName="[lesMois].[Mois].[Mois]" sourceCaption="Mois" count="3">
          <ranges>
            <range startItem="0">
              <i n="[lesMois].[Mois].&amp;[feb]" c="feb"/>
              <i n="[lesMois].[Mois].&amp;[jan]" c="jan"/>
              <i n="[lesMois].[Mois].&amp;[mar]" c="mar"/>
            </range>
          </ranges>
        </level>
      </levels>
      <selections count="1">
        <selection n="[lesMois].[Mois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éférence 2" xr10:uid="{E67019D2-65C6-420F-9B01-6E35AB475099}" cache="Segment_Référence" caption="Référence" columnCount="3" level="1" rowHeight="241300"/>
  <slicer name="Catégorie 1" xr10:uid="{5DB06BEF-3F75-4E91-94DB-E9DA30DF0542}" cache="Segment_Catégorie" caption="Catégorie" columnCount="2" level="1" rowHeight="241300"/>
  <slicer name="Mois 1" xr10:uid="{2B7351A2-7513-4997-800D-687E971F0808}" cache="Segment_Mois" caption="Mois" columnCount="3" level="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éférence" xr10:uid="{57AF40C2-61D1-47D9-ADB2-807B07B389AF}" cache="Segment_Référence" caption="Référence" columnCount="3" level="1" style="SlicerStyleLight1" rowHeight="241300"/>
  <slicer name="Catégorie" xr10:uid="{2EA46F2B-3EEB-4903-9447-CA2DE29D04B7}" cache="Segment_Catégorie" caption="Catégorie" columnCount="2" level="1" style="SlicerStyleLight1" rowHeight="241300"/>
  <slicer name="Mois" xr10:uid="{B6590623-76A1-4978-AD49-8C70B8BF033C}" cache="Segment_Mois" caption="Mois" level="1" style="SlicerStyleLight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8D41C2A-69F4-4D0D-9F28-60EC7EF82CFB}" name="ListeMarchandise" displayName="ListeMarchandise" ref="D15:K22" totalsRowShown="0" headerRowDxfId="59" dataDxfId="58">
  <autoFilter ref="D15:K22" xr:uid="{F154765A-206D-4CB1-88D8-FEDB793ABA76}"/>
  <tableColumns count="8">
    <tableColumn id="1" xr3:uid="{58DB8D27-6A15-4E21-A395-8443D2F5C4E7}" name="Référence" dataDxfId="57"/>
    <tableColumn id="2" xr3:uid="{386B8042-FD3E-440F-B08E-FEE6B150BCC8}" name="Désignation" dataDxfId="56"/>
    <tableColumn id="3" xr3:uid="{DDABCC56-F66A-47CC-B603-E62ECCF22098}" name="Catégorie" dataDxfId="55"/>
    <tableColumn id="4" xr3:uid="{BF22FA34-8B89-4FC5-A9CD-C570CBFFE4F2}" name="unité" dataDxfId="54"/>
    <tableColumn id="5" xr3:uid="{BD26BA33-C30C-4631-AE35-AFA475B3022F}" name="Seuil D'alert" dataDxfId="53"/>
    <tableColumn id="6" xr3:uid="{172B6444-7C0B-4A20-A9D7-EFFD505C327D}" name="Stock initial" dataDxfId="52"/>
    <tableColumn id="7" xr3:uid="{178FC0B5-E1FD-4757-B76A-44BFDF04771B}" name="Prix unitaire" dataDxfId="51"/>
    <tableColumn id="8" xr3:uid="{490687AD-B351-430C-8E0F-C56DAC0FB406}" name="Total" dataDxfId="50">
      <calculatedColumnFormula>ListeMarchandise[[#This Row],[Prix unitaire]]*ListeMarchandise[[#This Row],[Stock initial]]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DB1CE0-362A-41CB-9BFD-A4E7DED183AE}" name="ListeAchat" displayName="ListeAchat" ref="D9:L14" totalsRowShown="0" headerRowDxfId="35" dataDxfId="34">
  <autoFilter ref="D9:L14" xr:uid="{2A0FA775-F653-48B5-A5F5-00DCBC8C1B6F}"/>
  <tableColumns count="9">
    <tableColumn id="1" xr3:uid="{E7F2BF66-798E-431C-B5EC-A46082635B23}" name="Numéro" dataDxfId="33"/>
    <tableColumn id="2" xr3:uid="{94267B93-22F8-4F12-B483-E63E80D93794}" name="Date" dataDxfId="32"/>
    <tableColumn id="9" xr3:uid="{249D6F1A-6678-40AF-9985-2B1030FB690F}" name="Référence" dataDxfId="31"/>
    <tableColumn id="3" xr3:uid="{B40FC131-391B-425E-A010-FBF20720F049}" name="Désignation " dataDxfId="30"/>
    <tableColumn id="4" xr3:uid="{F6B33261-8C67-4E5F-AD17-33323BBD1260}" name="Catégorie" dataDxfId="29"/>
    <tableColumn id="5" xr3:uid="{47C6526C-F82A-4AC3-B9B2-5F8C1A83E7A3}" name="Unité" dataDxfId="28"/>
    <tableColumn id="6" xr3:uid="{DC3F844F-0B31-43E8-81F9-CC9CACD8AD0F}" name="Prix d'achat" dataDxfId="27"/>
    <tableColumn id="7" xr3:uid="{04B2A314-9312-43E2-8E39-2F65566679E3}" name="Quantité" dataDxfId="26"/>
    <tableColumn id="8" xr3:uid="{FA86D993-B3A1-480A-8C7A-B9064EED7494}" name="total" dataDxfId="25">
      <calculatedColumnFormula>ListeAchat[[#This Row],[Quantité]]*ListeAchat[[#This Row],[Prix d''achat]]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1CA03CE-5003-4292-9A9F-6D57604A821D}" name="ListeVente" displayName="ListeVente" ref="D9:L13" totalsRowShown="0" headerRowDxfId="24" dataDxfId="23">
  <autoFilter ref="D9:L13" xr:uid="{42A341A2-F818-4BD0-B015-7586E44AF0DE}"/>
  <tableColumns count="9">
    <tableColumn id="1" xr3:uid="{58F89A7A-0C1F-4109-8933-BA068650E0F1}" name="Numéro" dataDxfId="22"/>
    <tableColumn id="2" xr3:uid="{153D1B4C-68CF-4027-AF73-42BA1C93F817}" name="Date" dataDxfId="21"/>
    <tableColumn id="9" xr3:uid="{C658056F-6461-4FC9-9656-A6628EDB5059}" name="Référence" dataDxfId="20"/>
    <tableColumn id="3" xr3:uid="{B78DA284-C71B-4A39-81E0-C8AE1EB7DD43}" name="Désignation " dataDxfId="19"/>
    <tableColumn id="4" xr3:uid="{649A1667-BC6B-4228-92EB-4A461D48A7D6}" name="Catégorie" dataDxfId="18"/>
    <tableColumn id="5" xr3:uid="{E2BEB1F6-66F8-402C-859E-381889F657B4}" name="Unité" dataDxfId="17"/>
    <tableColumn id="6" xr3:uid="{0056D7F1-CC35-4EDC-B6C2-F41387782452}" name="Prix de Vente" dataDxfId="16"/>
    <tableColumn id="7" xr3:uid="{BF5C2306-2091-4B59-8CBA-14D5151B78F3}" name="Quantité" dataDxfId="15"/>
    <tableColumn id="8" xr3:uid="{296C079E-1141-4FCB-A1ED-C92E7C1A052B}" name="total" dataDxfId="14">
      <calculatedColumnFormula>ListeVente[[#This Row],[Quantité]]*ListeVente[[#This Row],[Prix de Vente]]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57D37D0-3011-4057-97B7-D6F16BB2C6EF}" name="ListeIventaire" displayName="ListeIventaire" ref="D5:O11" totalsRowShown="0" headerRowDxfId="49" dataDxfId="48">
  <autoFilter ref="D5:O11" xr:uid="{54AFB46A-790D-4537-8FEA-81CDD3E9DAB6}"/>
  <tableColumns count="12">
    <tableColumn id="1" xr3:uid="{C5257360-25D6-4C94-8754-7E297E6DA500}" name="Référence" dataDxfId="47"/>
    <tableColumn id="2" xr3:uid="{3D2E4673-84E5-480B-BB00-A605422EE8F3}" name="Désignation" dataDxfId="46">
      <calculatedColumnFormula>IFERROR(VLOOKUP(ListeIventaire[[#This Row],[Référence]],ListeMarchandise[],2,FALSE),"")</calculatedColumnFormula>
    </tableColumn>
    <tableColumn id="3" xr3:uid="{12E9E4CF-3FD5-4AB9-8302-40BD9A1D7D87}" name="Catégorie" dataDxfId="45">
      <calculatedColumnFormula>IFERROR(VLOOKUP(ListeIventaire[[#This Row],[Référence]],ListeMarchandise[],3,FALSE),"")</calculatedColumnFormula>
    </tableColumn>
    <tableColumn id="4" xr3:uid="{98201966-D673-45FF-B1C7-7A63D0ABAB43}" name="Unité" dataDxfId="44">
      <calculatedColumnFormula>IFERROR(VLOOKUP(ListeIventaire[[#This Row],[Référence]],ListeMarchandise[],4,FALSE),"")</calculatedColumnFormula>
    </tableColumn>
    <tableColumn id="5" xr3:uid="{7A8E7681-D168-4ACA-9A9C-302E37BB2450}" name="Seuil D'alert" dataDxfId="43">
      <calculatedColumnFormula>IFERROR(VLOOKUP(ListeIventaire[[#This Row],[Référence]],ListeMarchandise[],5,FALSE),"")</calculatedColumnFormula>
    </tableColumn>
    <tableColumn id="6" xr3:uid="{80D1FD1C-D176-42A6-86F8-46F8D967BEAF}" name="Stock initial" dataDxfId="42">
      <calculatedColumnFormula>IFERROR(VLOOKUP(ListeIventaire[[#This Row],[Référence]],ListeMarchandise[],6,FALSE),"")</calculatedColumnFormula>
    </tableColumn>
    <tableColumn id="7" xr3:uid="{92F361A6-0413-4B23-97A5-585E10E5F96A}" name="Entrée" dataDxfId="41">
      <calculatedColumnFormula>SUMIF(ListeAchat[Référence],ListeIventaire[Référence],ListeAchat[Quantité])</calculatedColumnFormula>
    </tableColumn>
    <tableColumn id="8" xr3:uid="{EAB9E1DD-AAA3-4095-88AC-4922448406C4}" name="Sortie" dataDxfId="40">
      <calculatedColumnFormula>IFERROR(SUMIF(ListeVente[Référence],ListeIventaire[Référence],ListeVente[Quantité]),"")</calculatedColumnFormula>
    </tableColumn>
    <tableColumn id="9" xr3:uid="{9891DA48-0F3D-4E79-8DEB-1A81CFB35B85}" name="Stock final" dataDxfId="39">
      <calculatedColumnFormula>IFERROR((ListeIventaire[[#This Row],[Stock initial]]+ListeIventaire[[#This Row],[Entrée]]-ListeIventaire[[#This Row],[Sortie]]),"")</calculatedColumnFormula>
    </tableColumn>
    <tableColumn id="10" xr3:uid="{EC6BEBF6-846E-4F96-B4C5-2A55410A1C00}" name="CUMP" dataDxfId="38">
      <calculatedColumnFormula>IFERROR(((VLOOKUP(ListeIventaire[[#This Row],[Référence]],ListeMarchandise[],8,FALSE)+SUMIF(ListeAchat[Référence],ListeIventaire[Référence],ListeAchat[total]))/(VLOOKUP(ListeIventaire[[#This Row],[Référence]],ListeMarchandise[],6,FALSE)+SUMIF(ListeAchat[Référence],ListeIventaire[Référence],ListeAchat[Quantité]))),"")</calculatedColumnFormula>
    </tableColumn>
    <tableColumn id="11" xr3:uid="{1956EF97-0721-4AFA-AAC7-D80D134D6F18}" name="Valeur" dataDxfId="37">
      <calculatedColumnFormula>IFERROR((ListeIventaire[[#This Row],[CUMP]]*ListeIventaire[[#This Row],[Stock final]]),"")</calculatedColumnFormula>
    </tableColumn>
    <tableColumn id="12" xr3:uid="{C560654A-FE43-4EC5-BD73-7F785FCFD37B}" name="Statu" dataDxfId="36">
      <calculatedColumnFormula>IFERROR(IF(ListeIventaire[[#This Row],[Stock final]]&gt;ListeIventaire[[#This Row],[Seuil D''alert]],"Stock Normal",IF(ListeIventaire[[#This Row],[Stock final]]=0,"Stock Non Disponible","stock faible")),"")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1447B83-C45A-4EA3-BAA4-5BA842F7AE25}" name="LesRéférences" displayName="LesRéférences" ref="H2:H7" totalsRowShown="0">
  <autoFilter ref="H2:H7" xr:uid="{9306F755-191D-49EF-9B48-17DFD3A8FBA5}"/>
  <tableColumns count="1">
    <tableColumn id="1" xr3:uid="{E341D780-20BD-4800-A1B3-6DFA9282EAB0}" name="Référenc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D71F7F-2DAA-4224-8920-54997E02E306}" name="lescatégories" displayName="lescatégories" ref="I10:I12" totalsRowShown="0">
  <autoFilter ref="I10:I12" xr:uid="{E8F87C9F-7477-4727-A383-605D413B4FA6}"/>
  <tableColumns count="1">
    <tableColumn id="1" xr3:uid="{833D95DD-29D6-44E8-8624-5A56595078A5}" name="Catégori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E370329-D537-43F8-B27C-E6CEB797E367}" name="lesMois" displayName="lesMois" ref="K10:K13" totalsRowShown="0">
  <autoFilter ref="K10:K13" xr:uid="{D763CFC0-885D-4334-908E-7A37745B4F84}"/>
  <tableColumns count="1">
    <tableColumn id="1" xr3:uid="{11C15DE8-882D-44E2-83DA-6612181D9A44}" name="Moi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table" Target="../tables/table6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table" Target="../tables/table5.xml"/><Relationship Id="rId2" Type="http://schemas.openxmlformats.org/officeDocument/2006/relationships/pivotTable" Target="../pivotTables/pivotTable2.xml"/><Relationship Id="rId16" Type="http://schemas.openxmlformats.org/officeDocument/2006/relationships/drawing" Target="../drawings/drawing4.xml"/><Relationship Id="rId20" Type="http://schemas.microsoft.com/office/2007/relationships/slicer" Target="../slicers/slicer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7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426C4-40B9-4A35-90A5-2C23F95F3E2E}">
  <sheetPr codeName="Feuil1"/>
  <dimension ref="A1:T41"/>
  <sheetViews>
    <sheetView tabSelected="1" topLeftCell="E1" zoomScaleNormal="100" zoomScaleSheetLayoutView="100" workbookViewId="0">
      <selection activeCell="T21" sqref="T21"/>
    </sheetView>
  </sheetViews>
  <sheetFormatPr baseColWidth="10" defaultRowHeight="15" x14ac:dyDescent="0.25"/>
  <cols>
    <col min="1" max="18" width="11.42578125" style="30"/>
    <col min="19" max="19" width="14.7109375" style="30" bestFit="1" customWidth="1"/>
    <col min="20" max="16384" width="11.42578125" style="30"/>
  </cols>
  <sheetData>
    <row r="1" spans="1:19" x14ac:dyDescent="0.25">
      <c r="P1" s="42" t="s">
        <v>61</v>
      </c>
      <c r="Q1" s="42"/>
      <c r="R1" s="44">
        <v>44997</v>
      </c>
      <c r="S1" s="43">
        <f ca="1">NOW()</f>
        <v>44997.834958564817</v>
      </c>
    </row>
    <row r="2" spans="1:19" x14ac:dyDescent="0.25">
      <c r="A2" s="5"/>
      <c r="B2" s="5"/>
      <c r="C2" s="5"/>
    </row>
    <row r="3" spans="1:19" x14ac:dyDescent="0.25">
      <c r="A3" s="5"/>
      <c r="B3" s="5"/>
      <c r="C3" s="5"/>
    </row>
    <row r="4" spans="1:19" x14ac:dyDescent="0.25">
      <c r="A4" s="5"/>
      <c r="B4" s="5"/>
      <c r="C4" s="5"/>
    </row>
    <row r="5" spans="1:19" x14ac:dyDescent="0.25">
      <c r="A5" s="5"/>
      <c r="B5" s="5"/>
      <c r="C5" s="5"/>
    </row>
    <row r="6" spans="1:19" x14ac:dyDescent="0.25">
      <c r="A6" s="5"/>
      <c r="B6" s="5"/>
      <c r="C6" s="5"/>
    </row>
    <row r="7" spans="1:19" x14ac:dyDescent="0.25">
      <c r="A7" s="5"/>
      <c r="B7" s="5"/>
      <c r="C7" s="5"/>
    </row>
    <row r="8" spans="1:19" x14ac:dyDescent="0.25">
      <c r="A8" s="5"/>
      <c r="B8" s="5"/>
      <c r="C8" s="5"/>
    </row>
    <row r="9" spans="1:19" x14ac:dyDescent="0.25">
      <c r="A9" s="5"/>
      <c r="B9" s="5"/>
      <c r="C9" s="5"/>
    </row>
    <row r="10" spans="1:19" x14ac:dyDescent="0.25">
      <c r="A10" s="5"/>
      <c r="B10" s="5"/>
      <c r="C10" s="5"/>
    </row>
    <row r="11" spans="1:19" x14ac:dyDescent="0.25">
      <c r="A11" s="5"/>
      <c r="B11" s="5"/>
      <c r="C11" s="5"/>
    </row>
    <row r="12" spans="1:19" x14ac:dyDescent="0.25">
      <c r="A12" s="5"/>
      <c r="B12" s="5"/>
      <c r="C12" s="5"/>
    </row>
    <row r="13" spans="1:19" x14ac:dyDescent="0.25">
      <c r="A13" s="5"/>
      <c r="B13" s="5"/>
      <c r="C13" s="5"/>
    </row>
    <row r="14" spans="1:19" x14ac:dyDescent="0.25">
      <c r="A14" s="5"/>
      <c r="B14" s="5"/>
      <c r="C14" s="5"/>
    </row>
    <row r="15" spans="1:19" x14ac:dyDescent="0.25">
      <c r="A15" s="5"/>
      <c r="B15" s="5"/>
      <c r="C15" s="5"/>
    </row>
    <row r="16" spans="1:19" x14ac:dyDescent="0.25">
      <c r="A16" s="5"/>
      <c r="B16" s="5"/>
      <c r="C16" s="5"/>
    </row>
    <row r="17" spans="1:20" x14ac:dyDescent="0.25">
      <c r="A17" s="5"/>
      <c r="B17" s="5"/>
      <c r="C17" s="5"/>
    </row>
    <row r="18" spans="1:20" x14ac:dyDescent="0.25">
      <c r="A18" s="5"/>
      <c r="B18" s="5"/>
      <c r="C18" s="5"/>
    </row>
    <row r="19" spans="1:20" x14ac:dyDescent="0.25">
      <c r="A19" s="5"/>
      <c r="B19" s="5"/>
      <c r="C19" s="5"/>
    </row>
    <row r="20" spans="1:20" x14ac:dyDescent="0.25">
      <c r="A20" s="5"/>
      <c r="B20" s="5"/>
      <c r="C20" s="5"/>
    </row>
    <row r="21" spans="1:20" x14ac:dyDescent="0.25">
      <c r="A21" s="5"/>
      <c r="B21" s="5"/>
      <c r="C21" s="5"/>
      <c r="T21" s="30" t="s">
        <v>62</v>
      </c>
    </row>
    <row r="22" spans="1:20" x14ac:dyDescent="0.25">
      <c r="A22" s="5"/>
      <c r="B22" s="5"/>
      <c r="C22" s="5"/>
    </row>
    <row r="23" spans="1:20" x14ac:dyDescent="0.25">
      <c r="A23" s="5"/>
      <c r="B23" s="5"/>
      <c r="C23" s="5"/>
    </row>
    <row r="24" spans="1:20" x14ac:dyDescent="0.25">
      <c r="A24" s="5"/>
      <c r="B24" s="5"/>
      <c r="C24" s="5"/>
    </row>
    <row r="25" spans="1:20" x14ac:dyDescent="0.25">
      <c r="A25" s="5"/>
      <c r="B25" s="5"/>
      <c r="C25" s="5"/>
    </row>
    <row r="26" spans="1:20" x14ac:dyDescent="0.25">
      <c r="A26" s="5"/>
      <c r="B26" s="5"/>
      <c r="C26" s="5"/>
    </row>
    <row r="27" spans="1:20" x14ac:dyDescent="0.25">
      <c r="A27" s="5"/>
      <c r="B27" s="5"/>
      <c r="C27" s="5"/>
    </row>
    <row r="28" spans="1:20" x14ac:dyDescent="0.25">
      <c r="A28" s="5"/>
      <c r="B28" s="5"/>
      <c r="C28" s="5"/>
    </row>
    <row r="29" spans="1:20" x14ac:dyDescent="0.25">
      <c r="A29" s="5"/>
      <c r="B29" s="5"/>
      <c r="C29" s="5"/>
    </row>
    <row r="30" spans="1:20" x14ac:dyDescent="0.25">
      <c r="A30" s="5"/>
      <c r="B30" s="5"/>
      <c r="C30" s="5"/>
    </row>
    <row r="31" spans="1:20" x14ac:dyDescent="0.25">
      <c r="A31" s="5"/>
      <c r="B31" s="5"/>
      <c r="C31" s="5"/>
    </row>
    <row r="32" spans="1:20" x14ac:dyDescent="0.25">
      <c r="A32" s="5"/>
      <c r="B32" s="5"/>
      <c r="C32" s="5"/>
    </row>
    <row r="33" spans="1:3" x14ac:dyDescent="0.25">
      <c r="A33" s="5"/>
      <c r="B33" s="5"/>
      <c r="C33" s="5"/>
    </row>
    <row r="34" spans="1:3" x14ac:dyDescent="0.25">
      <c r="A34" s="5"/>
      <c r="B34" s="5"/>
      <c r="C34" s="5"/>
    </row>
    <row r="35" spans="1:3" x14ac:dyDescent="0.25">
      <c r="A35" s="5"/>
      <c r="B35" s="5"/>
      <c r="C35" s="5"/>
    </row>
    <row r="36" spans="1:3" x14ac:dyDescent="0.25">
      <c r="A36" s="5"/>
      <c r="B36" s="5"/>
      <c r="C36" s="5"/>
    </row>
    <row r="37" spans="1:3" x14ac:dyDescent="0.25">
      <c r="A37" s="5"/>
      <c r="B37" s="5"/>
      <c r="C37" s="5"/>
    </row>
    <row r="38" spans="1:3" x14ac:dyDescent="0.25">
      <c r="A38" s="5"/>
      <c r="B38" s="5"/>
      <c r="C38" s="5"/>
    </row>
    <row r="39" spans="1:3" x14ac:dyDescent="0.25">
      <c r="A39" s="5"/>
      <c r="B39" s="5"/>
      <c r="C39" s="5"/>
    </row>
    <row r="40" spans="1:3" x14ac:dyDescent="0.25">
      <c r="A40" s="5"/>
      <c r="B40" s="5"/>
      <c r="C40" s="5"/>
    </row>
    <row r="41" spans="1:3" x14ac:dyDescent="0.25">
      <c r="A41" s="5"/>
      <c r="B41" s="5"/>
      <c r="C41" s="5"/>
    </row>
  </sheetData>
  <mergeCells count="1">
    <mergeCell ref="P1:Q1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58900-172A-4F8D-9622-EEBD55F026D3}">
  <sheetPr codeName="Feuil2"/>
  <dimension ref="A1:Q20"/>
  <sheetViews>
    <sheetView showGridLines="0" workbookViewId="0">
      <selection activeCell="C6" sqref="C6"/>
    </sheetView>
  </sheetViews>
  <sheetFormatPr baseColWidth="10" defaultRowHeight="15.75" x14ac:dyDescent="0.25"/>
  <cols>
    <col min="1" max="2" width="11.42578125" style="12"/>
    <col min="3" max="3" width="32.140625" style="12" customWidth="1"/>
    <col min="4" max="4" width="11.42578125" style="12"/>
    <col min="5" max="5" width="29.28515625" style="12" customWidth="1"/>
    <col min="6" max="16384" width="11.42578125" style="12"/>
  </cols>
  <sheetData>
    <row r="1" spans="1:17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</row>
    <row r="2" spans="1:17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</row>
    <row r="3" spans="1:17" x14ac:dyDescent="0.25">
      <c r="A3" s="11"/>
      <c r="B3" s="11"/>
      <c r="C3" s="13"/>
      <c r="D3" s="13"/>
      <c r="E3" s="13"/>
      <c r="F3" s="13"/>
      <c r="G3" s="13"/>
      <c r="H3" s="13"/>
      <c r="I3" s="13"/>
      <c r="J3" s="13"/>
      <c r="K3" s="13"/>
      <c r="L3" s="11"/>
      <c r="M3" s="11"/>
      <c r="N3" s="11"/>
      <c r="O3" s="11"/>
      <c r="P3" s="11"/>
      <c r="Q3" s="11"/>
    </row>
    <row r="4" spans="1:17" x14ac:dyDescent="0.25">
      <c r="A4" s="11"/>
      <c r="B4" s="11"/>
      <c r="C4" s="13"/>
      <c r="D4" s="13"/>
      <c r="E4" s="13"/>
      <c r="F4" s="13"/>
      <c r="G4" s="13"/>
      <c r="H4" s="13"/>
      <c r="I4" s="13"/>
      <c r="J4" s="13"/>
      <c r="K4" s="13"/>
    </row>
    <row r="5" spans="1:17" x14ac:dyDescent="0.25">
      <c r="A5" s="11"/>
      <c r="B5" s="11"/>
      <c r="C5" s="15" t="s">
        <v>0</v>
      </c>
      <c r="D5" s="15"/>
      <c r="E5" s="15" t="s">
        <v>4</v>
      </c>
      <c r="F5" s="13"/>
      <c r="G5" s="13"/>
      <c r="H5" s="13"/>
      <c r="I5" s="13"/>
      <c r="J5" s="13"/>
      <c r="K5" s="13"/>
    </row>
    <row r="6" spans="1:17" ht="24.95" customHeight="1" x14ac:dyDescent="0.25">
      <c r="A6" s="11"/>
      <c r="B6" s="11"/>
      <c r="C6" s="16"/>
      <c r="D6" s="15"/>
      <c r="E6" s="17"/>
      <c r="F6" s="13"/>
      <c r="G6" s="13"/>
      <c r="H6" s="13"/>
      <c r="I6" s="13"/>
      <c r="J6" s="13"/>
      <c r="K6" s="13"/>
    </row>
    <row r="7" spans="1:17" x14ac:dyDescent="0.25">
      <c r="A7" s="11"/>
      <c r="B7" s="11"/>
      <c r="C7" s="15" t="s">
        <v>1</v>
      </c>
      <c r="D7" s="15"/>
      <c r="E7" s="15" t="s">
        <v>5</v>
      </c>
      <c r="F7" s="13"/>
      <c r="G7" s="13"/>
      <c r="H7" s="13"/>
      <c r="I7" s="13"/>
      <c r="J7" s="13"/>
      <c r="K7" s="13"/>
    </row>
    <row r="8" spans="1:17" ht="24.95" customHeight="1" x14ac:dyDescent="0.25">
      <c r="A8" s="11"/>
      <c r="B8" s="11"/>
      <c r="C8" s="16" t="str">
        <f>IFERROR(VLOOKUP(C6,ListeMarchandise[],2,FALSE),"")</f>
        <v/>
      </c>
      <c r="D8" s="15"/>
      <c r="E8" s="18">
        <v>0</v>
      </c>
      <c r="F8" s="13"/>
      <c r="G8" s="13"/>
      <c r="H8" s="13"/>
      <c r="I8" s="13"/>
      <c r="J8" s="13"/>
      <c r="K8" s="13"/>
    </row>
    <row r="9" spans="1:17" x14ac:dyDescent="0.25">
      <c r="A9" s="11"/>
      <c r="B9" s="11"/>
      <c r="C9" s="15" t="s">
        <v>2</v>
      </c>
      <c r="D9" s="15"/>
      <c r="E9" s="15" t="s">
        <v>6</v>
      </c>
      <c r="F9" s="13"/>
      <c r="G9" s="13"/>
      <c r="H9" s="13"/>
      <c r="I9" s="13"/>
      <c r="J9" s="13"/>
      <c r="K9" s="13"/>
    </row>
    <row r="10" spans="1:17" ht="24.95" customHeight="1" x14ac:dyDescent="0.25">
      <c r="A10" s="11"/>
      <c r="B10" s="11"/>
      <c r="C10" s="16" t="str">
        <f>IFERROR(VLOOKUP(C6,ListeMarchandise[],3,FALSE),"")</f>
        <v/>
      </c>
      <c r="D10" s="15"/>
      <c r="E10" s="16">
        <v>0</v>
      </c>
      <c r="F10" s="13"/>
      <c r="G10" s="13"/>
      <c r="H10" s="13"/>
      <c r="I10" s="13"/>
      <c r="J10" s="13"/>
      <c r="K10" s="13"/>
    </row>
    <row r="11" spans="1:17" x14ac:dyDescent="0.25">
      <c r="A11" s="11"/>
      <c r="B11" s="11"/>
      <c r="C11" s="15" t="s">
        <v>3</v>
      </c>
      <c r="D11" s="15"/>
      <c r="E11" s="15" t="s">
        <v>7</v>
      </c>
      <c r="F11" s="13"/>
      <c r="G11" s="13"/>
      <c r="H11" s="13"/>
      <c r="I11" s="13"/>
      <c r="J11" s="13"/>
      <c r="K11" s="13"/>
    </row>
    <row r="12" spans="1:17" ht="24.95" customHeight="1" x14ac:dyDescent="0.25">
      <c r="A12" s="11"/>
      <c r="B12" s="11"/>
      <c r="C12" s="16" t="str">
        <f>IFERROR(VLOOKUP(C6,ListeMarchandise[],4,FALSE),"")</f>
        <v/>
      </c>
      <c r="D12" s="15"/>
      <c r="E12" s="18">
        <f>E10*E8</f>
        <v>0</v>
      </c>
      <c r="F12" s="13"/>
      <c r="G12" s="13"/>
      <c r="H12" s="13"/>
      <c r="I12" s="13"/>
      <c r="J12" s="13"/>
      <c r="K12" s="13"/>
    </row>
    <row r="13" spans="1:17" x14ac:dyDescent="0.25">
      <c r="A13" s="11"/>
      <c r="B13" s="11"/>
      <c r="C13" s="13"/>
      <c r="D13" s="13"/>
      <c r="E13" s="13"/>
      <c r="F13" s="13"/>
      <c r="G13" s="13"/>
      <c r="H13" s="13"/>
      <c r="I13" s="13"/>
      <c r="J13" s="13"/>
      <c r="K13" s="13"/>
    </row>
    <row r="14" spans="1:17" x14ac:dyDescent="0.25">
      <c r="A14" s="11"/>
      <c r="B14" s="11"/>
      <c r="C14" s="13"/>
      <c r="D14" s="13"/>
      <c r="E14" s="13"/>
      <c r="F14" s="13"/>
      <c r="G14" s="13"/>
      <c r="H14" s="13"/>
      <c r="I14" s="13"/>
      <c r="J14" s="13"/>
      <c r="K14" s="13"/>
    </row>
    <row r="15" spans="1:17" x14ac:dyDescent="0.25">
      <c r="A15" s="11"/>
      <c r="B15" s="11"/>
      <c r="C15" s="13"/>
      <c r="D15" s="13"/>
      <c r="E15" s="13"/>
      <c r="F15" s="13"/>
      <c r="G15" s="13"/>
      <c r="H15" s="13"/>
      <c r="I15" s="13"/>
      <c r="J15" s="13"/>
      <c r="K15" s="13"/>
    </row>
    <row r="16" spans="1:17" x14ac:dyDescent="0.25">
      <c r="A16" s="11"/>
      <c r="B16" s="11"/>
      <c r="C16" s="13"/>
      <c r="D16" s="13"/>
      <c r="E16" s="13"/>
      <c r="F16" s="13"/>
      <c r="G16" s="13"/>
      <c r="H16" s="13"/>
      <c r="I16" s="13"/>
      <c r="J16" s="13"/>
      <c r="K16" s="13"/>
    </row>
    <row r="17" spans="3:11" x14ac:dyDescent="0.25">
      <c r="C17" s="13"/>
      <c r="D17" s="13"/>
      <c r="E17" s="13"/>
      <c r="F17" s="13"/>
      <c r="G17" s="13"/>
      <c r="H17" s="13"/>
      <c r="I17" s="13"/>
      <c r="J17" s="13"/>
      <c r="K17" s="13"/>
    </row>
    <row r="18" spans="3:11" x14ac:dyDescent="0.25">
      <c r="C18" s="13"/>
      <c r="D18" s="13"/>
      <c r="E18" s="13"/>
      <c r="F18" s="13"/>
      <c r="G18" s="13"/>
      <c r="H18" s="13"/>
      <c r="I18" s="13"/>
      <c r="J18" s="13"/>
      <c r="K18" s="13"/>
    </row>
    <row r="19" spans="3:11" x14ac:dyDescent="0.25">
      <c r="C19" s="13"/>
      <c r="D19" s="13"/>
      <c r="E19" s="13"/>
      <c r="F19" s="13"/>
      <c r="G19" s="13"/>
      <c r="H19" s="13"/>
      <c r="I19" s="13"/>
      <c r="J19" s="13"/>
      <c r="K19" s="13"/>
    </row>
    <row r="20" spans="3:11" x14ac:dyDescent="0.25">
      <c r="C20" s="13"/>
      <c r="D20" s="13"/>
      <c r="E20" s="13"/>
      <c r="F20" s="13"/>
      <c r="G20" s="13"/>
      <c r="H20" s="13"/>
      <c r="I20" s="13"/>
      <c r="J20" s="13"/>
      <c r="K20" s="1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9372D-BA70-43E0-9DB5-DA64AF873BD2}">
  <sheetPr codeName="Feuil3"/>
  <dimension ref="A1:P26"/>
  <sheetViews>
    <sheetView showGridLines="0" workbookViewId="0">
      <pane xSplit="1" topLeftCell="F1" activePane="topRight" state="frozen"/>
      <selection pane="topRight" sqref="A1:C1048576"/>
    </sheetView>
  </sheetViews>
  <sheetFormatPr baseColWidth="10" defaultRowHeight="15" x14ac:dyDescent="0.25"/>
  <cols>
    <col min="1" max="3" width="5" style="7" customWidth="1"/>
    <col min="4" max="4" width="19.140625" style="7" customWidth="1"/>
    <col min="5" max="5" width="22.140625" style="7" customWidth="1"/>
    <col min="6" max="6" width="27" style="7" customWidth="1"/>
    <col min="7" max="7" width="23.42578125" style="7" customWidth="1"/>
    <col min="8" max="8" width="15" style="7" customWidth="1"/>
    <col min="9" max="9" width="14.28515625" style="7" bestFit="1" customWidth="1"/>
    <col min="10" max="10" width="14.28515625" style="20" bestFit="1" customWidth="1"/>
    <col min="11" max="11" width="14.5703125" style="20" bestFit="1" customWidth="1"/>
    <col min="12" max="16384" width="11.42578125" style="7"/>
  </cols>
  <sheetData>
    <row r="1" spans="1:16" x14ac:dyDescent="0.25">
      <c r="A1" s="6"/>
      <c r="B1" s="6"/>
      <c r="C1" s="6"/>
      <c r="D1" s="6"/>
      <c r="E1" s="6"/>
      <c r="F1" s="6"/>
      <c r="G1" s="6"/>
      <c r="H1" s="6"/>
      <c r="I1" s="6"/>
      <c r="J1" s="19"/>
      <c r="K1" s="19"/>
      <c r="L1" s="6"/>
      <c r="M1" s="6"/>
      <c r="N1" s="6"/>
      <c r="O1" s="6"/>
      <c r="P1" s="6"/>
    </row>
    <row r="2" spans="1:16" x14ac:dyDescent="0.25">
      <c r="A2" s="6"/>
      <c r="B2" s="6"/>
      <c r="C2" s="6"/>
      <c r="D2" s="6"/>
      <c r="E2" s="6"/>
      <c r="F2" s="6"/>
      <c r="G2" s="6"/>
      <c r="H2" s="6"/>
      <c r="I2" s="6"/>
      <c r="J2" s="19"/>
      <c r="K2" s="19"/>
      <c r="L2" s="6"/>
      <c r="M2" s="6"/>
      <c r="N2" s="6"/>
      <c r="O2" s="6"/>
      <c r="P2" s="6"/>
    </row>
    <row r="3" spans="1:16" x14ac:dyDescent="0.25">
      <c r="A3" s="6"/>
      <c r="B3" s="6"/>
      <c r="C3" s="6"/>
      <c r="D3" s="8" t="s">
        <v>37</v>
      </c>
      <c r="E3" s="8"/>
      <c r="F3" s="8"/>
      <c r="G3" s="8"/>
      <c r="H3" s="8"/>
      <c r="I3" s="8"/>
      <c r="J3" s="10"/>
      <c r="K3" s="10"/>
      <c r="L3" s="8"/>
      <c r="M3" s="8"/>
      <c r="N3" s="8"/>
      <c r="O3" s="6"/>
      <c r="P3" s="6"/>
    </row>
    <row r="4" spans="1:16" x14ac:dyDescent="0.25">
      <c r="A4" s="6"/>
      <c r="B4" s="6"/>
      <c r="C4" s="6"/>
      <c r="D4" s="8" t="s">
        <v>36</v>
      </c>
      <c r="E4" s="8"/>
      <c r="F4" s="8"/>
      <c r="G4" s="8"/>
      <c r="H4" s="8"/>
      <c r="I4" s="8"/>
      <c r="J4" s="10"/>
      <c r="K4" s="10"/>
      <c r="L4" s="8"/>
      <c r="M4" s="8"/>
      <c r="N4" s="8"/>
      <c r="O4" s="6"/>
      <c r="P4" s="6"/>
    </row>
    <row r="5" spans="1:16" x14ac:dyDescent="0.25">
      <c r="D5" s="8"/>
      <c r="E5" s="8"/>
      <c r="F5" s="8"/>
      <c r="G5" s="8"/>
      <c r="H5" s="8"/>
      <c r="I5" s="8"/>
      <c r="J5" s="10"/>
      <c r="K5" s="10"/>
      <c r="L5" s="8"/>
      <c r="M5" s="8"/>
      <c r="N5" s="8"/>
    </row>
    <row r="6" spans="1:16" x14ac:dyDescent="0.25">
      <c r="D6" s="8"/>
      <c r="E6" s="8"/>
      <c r="F6" s="8"/>
      <c r="G6" s="8"/>
      <c r="H6" s="8"/>
      <c r="I6" s="8"/>
      <c r="J6" s="10"/>
      <c r="K6" s="10"/>
      <c r="L6" s="8"/>
      <c r="M6" s="8"/>
      <c r="N6" s="8"/>
    </row>
    <row r="7" spans="1:16" x14ac:dyDescent="0.25">
      <c r="D7" s="8"/>
      <c r="E7" s="8"/>
      <c r="F7" s="8"/>
      <c r="G7" s="8"/>
      <c r="H7" s="8"/>
      <c r="I7" s="8"/>
      <c r="J7" s="10"/>
      <c r="K7" s="10"/>
      <c r="L7" s="8"/>
      <c r="M7" s="8"/>
      <c r="N7" s="8"/>
    </row>
    <row r="8" spans="1:16" x14ac:dyDescent="0.25">
      <c r="D8" s="24" t="s">
        <v>0</v>
      </c>
      <c r="E8" s="25"/>
      <c r="F8" s="24" t="s">
        <v>13</v>
      </c>
      <c r="G8" s="25">
        <v>0</v>
      </c>
      <c r="H8" s="8"/>
      <c r="I8" s="8"/>
      <c r="J8" s="10"/>
      <c r="K8" s="10"/>
      <c r="L8" s="8"/>
      <c r="M8" s="8"/>
      <c r="N8" s="8"/>
    </row>
    <row r="9" spans="1:16" x14ac:dyDescent="0.25">
      <c r="D9" s="24" t="s">
        <v>1</v>
      </c>
      <c r="E9" s="25"/>
      <c r="F9" s="24" t="s">
        <v>14</v>
      </c>
      <c r="G9" s="25">
        <v>0</v>
      </c>
      <c r="H9" s="8"/>
      <c r="I9" s="8"/>
      <c r="J9" s="10"/>
      <c r="K9" s="10"/>
      <c r="L9" s="8"/>
      <c r="M9" s="8"/>
      <c r="N9" s="8"/>
    </row>
    <row r="10" spans="1:16" x14ac:dyDescent="0.25">
      <c r="D10" s="24" t="s">
        <v>2</v>
      </c>
      <c r="E10" s="25"/>
      <c r="F10" s="24" t="s">
        <v>5</v>
      </c>
      <c r="G10" s="26">
        <v>0</v>
      </c>
      <c r="H10" s="8"/>
      <c r="I10" s="8"/>
      <c r="J10" s="10"/>
      <c r="K10" s="10"/>
      <c r="L10" s="8"/>
      <c r="M10" s="8"/>
      <c r="N10" s="8"/>
    </row>
    <row r="11" spans="1:16" x14ac:dyDescent="0.25">
      <c r="D11" s="24" t="s">
        <v>3</v>
      </c>
      <c r="E11" s="25"/>
      <c r="F11" s="24" t="s">
        <v>7</v>
      </c>
      <c r="G11" s="26">
        <f>G10*G9</f>
        <v>0</v>
      </c>
      <c r="H11" s="8"/>
      <c r="I11" s="8"/>
      <c r="J11" s="10"/>
      <c r="K11" s="10"/>
      <c r="L11" s="8"/>
      <c r="M11" s="8"/>
      <c r="N11" s="8"/>
    </row>
    <row r="12" spans="1:16" x14ac:dyDescent="0.25">
      <c r="D12" s="8"/>
      <c r="E12" s="8"/>
      <c r="F12" s="8"/>
      <c r="G12" s="8"/>
      <c r="H12" s="8"/>
      <c r="I12" s="8"/>
      <c r="J12" s="10"/>
      <c r="K12" s="10"/>
      <c r="L12" s="8"/>
      <c r="M12" s="8"/>
      <c r="N12" s="8"/>
    </row>
    <row r="13" spans="1:16" x14ac:dyDescent="0.25">
      <c r="D13" s="8"/>
      <c r="E13" s="8"/>
      <c r="F13" s="8"/>
      <c r="G13" s="8"/>
      <c r="H13" s="8"/>
      <c r="I13" s="8"/>
      <c r="J13" s="10"/>
      <c r="K13" s="10"/>
      <c r="L13" s="8"/>
      <c r="M13" s="8"/>
      <c r="N13" s="8"/>
    </row>
    <row r="14" spans="1:16" x14ac:dyDescent="0.25">
      <c r="D14" s="8" t="s">
        <v>39</v>
      </c>
      <c r="E14" s="8"/>
      <c r="F14" s="8"/>
      <c r="G14" s="8"/>
      <c r="H14" s="8"/>
      <c r="I14" s="8"/>
      <c r="J14" s="10"/>
      <c r="K14" s="10"/>
      <c r="L14" s="8"/>
      <c r="M14" s="8"/>
      <c r="N14" s="8"/>
    </row>
    <row r="15" spans="1:16" s="21" customFormat="1" x14ac:dyDescent="0.25">
      <c r="D15" s="22" t="s">
        <v>0</v>
      </c>
      <c r="E15" s="22" t="s">
        <v>1</v>
      </c>
      <c r="F15" s="22" t="s">
        <v>2</v>
      </c>
      <c r="G15" s="22" t="s">
        <v>12</v>
      </c>
      <c r="H15" s="22" t="s">
        <v>19</v>
      </c>
      <c r="I15" s="22" t="s">
        <v>20</v>
      </c>
      <c r="J15" s="23" t="s">
        <v>5</v>
      </c>
      <c r="K15" s="23" t="s">
        <v>7</v>
      </c>
      <c r="L15" s="22"/>
      <c r="M15" s="22"/>
      <c r="N15" s="22"/>
    </row>
    <row r="16" spans="1:16" s="21" customFormat="1" x14ac:dyDescent="0.25">
      <c r="D16" s="22" t="s">
        <v>38</v>
      </c>
      <c r="E16" s="22" t="s">
        <v>38</v>
      </c>
      <c r="F16" s="22" t="s">
        <v>17</v>
      </c>
      <c r="G16" s="22" t="s">
        <v>18</v>
      </c>
      <c r="H16" s="22">
        <v>5</v>
      </c>
      <c r="I16" s="22">
        <v>2</v>
      </c>
      <c r="J16" s="23">
        <v>1050000</v>
      </c>
      <c r="K16" s="23">
        <f>ListeMarchandise[[#This Row],[Prix unitaire]]*ListeMarchandise[[#This Row],[Stock initial]]</f>
        <v>2100000</v>
      </c>
      <c r="L16" s="22"/>
      <c r="M16" s="22"/>
      <c r="N16" s="22"/>
    </row>
    <row r="17" spans="4:14" s="21" customFormat="1" x14ac:dyDescent="0.25">
      <c r="D17" s="22" t="s">
        <v>58</v>
      </c>
      <c r="E17" s="22" t="s">
        <v>58</v>
      </c>
      <c r="F17" s="22" t="s">
        <v>17</v>
      </c>
      <c r="G17" s="22" t="s">
        <v>18</v>
      </c>
      <c r="H17" s="22">
        <v>10</v>
      </c>
      <c r="I17" s="22">
        <v>0</v>
      </c>
      <c r="J17" s="23">
        <v>0</v>
      </c>
      <c r="K17" s="23">
        <f>ListeMarchandise[[#This Row],[Prix unitaire]]*ListeMarchandise[[#This Row],[Stock initial]]</f>
        <v>0</v>
      </c>
      <c r="L17" s="22"/>
      <c r="M17" s="22"/>
      <c r="N17" s="22"/>
    </row>
    <row r="18" spans="4:14" x14ac:dyDescent="0.25">
      <c r="D18" s="8" t="s">
        <v>28</v>
      </c>
      <c r="E18" s="8" t="s">
        <v>28</v>
      </c>
      <c r="F18" s="8" t="s">
        <v>27</v>
      </c>
      <c r="G18" s="8" t="s">
        <v>18</v>
      </c>
      <c r="H18" s="8">
        <v>10</v>
      </c>
      <c r="I18" s="8">
        <v>14</v>
      </c>
      <c r="J18" s="10">
        <v>850000</v>
      </c>
      <c r="K18" s="10">
        <f>ListeMarchandise[[#This Row],[Prix unitaire]]*ListeMarchandise[[#This Row],[Stock initial]]</f>
        <v>11900000</v>
      </c>
      <c r="L18" s="8"/>
      <c r="M18" s="8"/>
      <c r="N18" s="8"/>
    </row>
    <row r="19" spans="4:14" x14ac:dyDescent="0.25">
      <c r="D19" s="8" t="s">
        <v>26</v>
      </c>
      <c r="E19" s="8" t="s">
        <v>26</v>
      </c>
      <c r="F19" s="8" t="s">
        <v>27</v>
      </c>
      <c r="G19" s="8" t="s">
        <v>23</v>
      </c>
      <c r="H19" s="8">
        <v>5</v>
      </c>
      <c r="I19" s="8">
        <v>22</v>
      </c>
      <c r="J19" s="10">
        <v>1300000</v>
      </c>
      <c r="K19" s="10">
        <f>ListeMarchandise[[#This Row],[Prix unitaire]]*ListeMarchandise[[#This Row],[Stock initial]]</f>
        <v>28600000</v>
      </c>
      <c r="L19" s="8"/>
      <c r="M19" s="8"/>
      <c r="N19" s="8"/>
    </row>
    <row r="20" spans="4:14" x14ac:dyDescent="0.25">
      <c r="D20" s="8" t="s">
        <v>25</v>
      </c>
      <c r="E20" s="8" t="s">
        <v>25</v>
      </c>
      <c r="F20" s="8" t="s">
        <v>17</v>
      </c>
      <c r="G20" s="8" t="s">
        <v>18</v>
      </c>
      <c r="H20" s="8">
        <v>5</v>
      </c>
      <c r="I20" s="8">
        <v>25</v>
      </c>
      <c r="J20" s="10">
        <v>900000</v>
      </c>
      <c r="K20" s="10">
        <f>ListeMarchandise[[#This Row],[Prix unitaire]]*ListeMarchandise[[#This Row],[Stock initial]]</f>
        <v>22500000</v>
      </c>
      <c r="L20" s="8"/>
      <c r="M20" s="8"/>
      <c r="N20" s="8"/>
    </row>
    <row r="21" spans="4:14" x14ac:dyDescent="0.25">
      <c r="D21" s="8" t="s">
        <v>21</v>
      </c>
      <c r="E21" s="8" t="s">
        <v>22</v>
      </c>
      <c r="F21" s="8" t="s">
        <v>17</v>
      </c>
      <c r="G21" s="8" t="s">
        <v>23</v>
      </c>
      <c r="H21" s="8">
        <v>5</v>
      </c>
      <c r="I21" s="8">
        <v>10</v>
      </c>
      <c r="J21" s="10">
        <v>850000</v>
      </c>
      <c r="K21" s="10">
        <f>ListeMarchandise[[#This Row],[Prix unitaire]]*ListeMarchandise[[#This Row],[Stock initial]]</f>
        <v>8500000</v>
      </c>
      <c r="L21" s="8"/>
      <c r="M21" s="8"/>
      <c r="N21" s="8"/>
    </row>
    <row r="22" spans="4:14" x14ac:dyDescent="0.25">
      <c r="D22" s="8" t="s">
        <v>15</v>
      </c>
      <c r="E22" s="8" t="s">
        <v>16</v>
      </c>
      <c r="F22" s="8" t="s">
        <v>17</v>
      </c>
      <c r="G22" s="8" t="s">
        <v>18</v>
      </c>
      <c r="H22" s="8">
        <v>10</v>
      </c>
      <c r="I22" s="8">
        <v>20</v>
      </c>
      <c r="J22" s="10">
        <v>900000</v>
      </c>
      <c r="K22" s="10">
        <f>ListeMarchandise[[#This Row],[Prix unitaire]]*ListeMarchandise[[#This Row],[Stock initial]]</f>
        <v>18000000</v>
      </c>
      <c r="L22" s="8"/>
      <c r="M22" s="8"/>
      <c r="N22" s="8"/>
    </row>
    <row r="23" spans="4:14" x14ac:dyDescent="0.25">
      <c r="D23" s="8"/>
      <c r="E23" s="8"/>
      <c r="F23" s="8"/>
      <c r="G23" s="8"/>
      <c r="H23" s="8"/>
      <c r="I23" s="8"/>
      <c r="J23" s="10"/>
      <c r="K23" s="10"/>
      <c r="L23" s="8"/>
      <c r="M23" s="8"/>
      <c r="N23" s="8"/>
    </row>
    <row r="24" spans="4:14" x14ac:dyDescent="0.25">
      <c r="D24" s="8"/>
      <c r="E24" s="8"/>
      <c r="F24" s="8"/>
      <c r="G24" s="8"/>
      <c r="H24" s="8"/>
      <c r="I24" s="8"/>
      <c r="J24" s="10"/>
      <c r="K24" s="10"/>
      <c r="L24" s="8"/>
      <c r="M24" s="8"/>
      <c r="N24" s="8"/>
    </row>
    <row r="25" spans="4:14" x14ac:dyDescent="0.25">
      <c r="D25" s="8"/>
      <c r="E25" s="8"/>
      <c r="F25" s="8"/>
      <c r="G25" s="8"/>
      <c r="H25" s="8"/>
      <c r="I25" s="8"/>
      <c r="J25" s="10"/>
      <c r="K25" s="10"/>
      <c r="L25" s="8"/>
      <c r="M25" s="8"/>
      <c r="N25" s="8"/>
    </row>
    <row r="26" spans="4:14" x14ac:dyDescent="0.25">
      <c r="D26" s="8"/>
      <c r="E26" s="8"/>
      <c r="F26" s="8"/>
      <c r="G26" s="8"/>
      <c r="H26" s="8"/>
      <c r="I26" s="8"/>
      <c r="J26" s="10"/>
      <c r="K26" s="10"/>
      <c r="L26" s="8"/>
      <c r="M26" s="8"/>
      <c r="N26" s="8"/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A733C-F94C-41F3-9F82-5BB7EE265425}">
  <sheetPr codeName="Feuil4"/>
  <dimension ref="A1:R20"/>
  <sheetViews>
    <sheetView showGridLines="0" workbookViewId="0">
      <selection activeCell="F13" sqref="F13"/>
    </sheetView>
  </sheetViews>
  <sheetFormatPr baseColWidth="10" defaultRowHeight="15" x14ac:dyDescent="0.25"/>
  <cols>
    <col min="1" max="3" width="11.42578125" style="7"/>
    <col min="4" max="4" width="11.5703125" style="7" bestFit="1" customWidth="1"/>
    <col min="5" max="5" width="10.7109375" style="7" bestFit="1" customWidth="1"/>
    <col min="6" max="6" width="12.42578125" style="7" bestFit="1" customWidth="1"/>
    <col min="7" max="7" width="14.140625" style="7" customWidth="1"/>
    <col min="8" max="8" width="11.7109375" style="7" customWidth="1"/>
    <col min="9" max="9" width="11.42578125" style="7"/>
    <col min="10" max="10" width="14.28515625" style="20" bestFit="1" customWidth="1"/>
    <col min="11" max="11" width="11.5703125" style="7" bestFit="1" customWidth="1"/>
    <col min="12" max="12" width="14.5703125" style="20" bestFit="1" customWidth="1"/>
    <col min="13" max="16384" width="11.42578125" style="7"/>
  </cols>
  <sheetData>
    <row r="1" spans="1:18" x14ac:dyDescent="0.25">
      <c r="A1" s="6"/>
      <c r="B1" s="6"/>
      <c r="C1" s="6"/>
      <c r="D1" s="6"/>
      <c r="E1" s="6"/>
      <c r="F1" s="6"/>
      <c r="G1" s="6"/>
      <c r="H1" s="6"/>
      <c r="I1" s="6"/>
      <c r="J1" s="19"/>
      <c r="K1" s="6"/>
      <c r="L1" s="19"/>
      <c r="M1" s="6"/>
      <c r="N1" s="6"/>
      <c r="O1" s="6"/>
      <c r="P1" s="6"/>
      <c r="Q1" s="6"/>
      <c r="R1" s="6"/>
    </row>
    <row r="2" spans="1:18" ht="9" customHeight="1" x14ac:dyDescent="0.25">
      <c r="A2" s="6"/>
      <c r="B2" s="6"/>
      <c r="C2" s="6"/>
      <c r="D2" s="6"/>
      <c r="E2" s="6"/>
      <c r="F2" s="6"/>
      <c r="G2" s="6"/>
      <c r="H2" s="6"/>
      <c r="I2" s="6"/>
      <c r="J2" s="19"/>
      <c r="K2" s="6"/>
      <c r="L2" s="19"/>
      <c r="M2" s="6"/>
      <c r="N2" s="6"/>
      <c r="O2" s="6"/>
      <c r="P2" s="6"/>
      <c r="Q2" s="6"/>
      <c r="R2" s="6"/>
    </row>
    <row r="3" spans="1:18" ht="8.25" customHeight="1" x14ac:dyDescent="0.25">
      <c r="A3" s="6"/>
      <c r="B3" s="6"/>
      <c r="C3" s="6"/>
      <c r="D3" s="8"/>
      <c r="E3" s="8"/>
      <c r="F3" s="8"/>
      <c r="G3" s="8"/>
      <c r="H3" s="8"/>
      <c r="I3" s="8"/>
      <c r="J3" s="10"/>
      <c r="K3" s="8"/>
      <c r="L3" s="10"/>
      <c r="M3" s="8"/>
      <c r="N3" s="6"/>
      <c r="O3" s="6"/>
      <c r="P3" s="6"/>
      <c r="Q3" s="6"/>
      <c r="R3" s="6"/>
    </row>
    <row r="4" spans="1:18" ht="9.75" customHeight="1" x14ac:dyDescent="0.25">
      <c r="A4" s="6"/>
      <c r="B4" s="6"/>
      <c r="C4" s="6"/>
      <c r="D4" s="8"/>
      <c r="E4" s="8"/>
      <c r="F4" s="8"/>
      <c r="G4" s="8"/>
      <c r="H4" s="8"/>
      <c r="I4" s="8"/>
      <c r="J4" s="10"/>
      <c r="K4" s="8"/>
      <c r="L4" s="10"/>
      <c r="M4" s="8"/>
      <c r="N4" s="6"/>
      <c r="O4" s="6"/>
      <c r="P4" s="6"/>
      <c r="Q4" s="6"/>
      <c r="R4" s="6"/>
    </row>
    <row r="5" spans="1:18" ht="8.25" customHeight="1" x14ac:dyDescent="0.25">
      <c r="A5" s="6"/>
      <c r="B5" s="6"/>
      <c r="C5" s="6"/>
      <c r="D5" s="8"/>
      <c r="E5" s="8"/>
      <c r="F5" s="8"/>
      <c r="G5" s="8"/>
      <c r="H5" s="8"/>
      <c r="I5" s="8"/>
      <c r="J5" s="10"/>
      <c r="K5" s="8"/>
      <c r="L5" s="10"/>
      <c r="M5" s="8"/>
    </row>
    <row r="6" spans="1:18" ht="18" customHeight="1" x14ac:dyDescent="0.25">
      <c r="A6" s="6"/>
      <c r="B6" s="6"/>
      <c r="C6" s="6"/>
      <c r="D6" s="8" t="s">
        <v>41</v>
      </c>
      <c r="E6" s="8"/>
      <c r="F6" s="8"/>
      <c r="G6" s="8"/>
      <c r="H6" s="8"/>
      <c r="I6" s="8"/>
      <c r="J6" s="10"/>
      <c r="K6" s="8"/>
      <c r="L6" s="10"/>
      <c r="M6" s="8"/>
    </row>
    <row r="7" spans="1:18" x14ac:dyDescent="0.25">
      <c r="A7" s="6"/>
      <c r="B7" s="6"/>
      <c r="C7" s="6"/>
      <c r="D7" s="8" t="s">
        <v>40</v>
      </c>
      <c r="E7" s="8"/>
      <c r="F7" s="8"/>
      <c r="G7" s="8"/>
      <c r="H7" s="8"/>
      <c r="I7" s="8"/>
      <c r="J7" s="10"/>
      <c r="K7" s="8"/>
      <c r="L7" s="10"/>
      <c r="M7" s="8"/>
    </row>
    <row r="8" spans="1:18" x14ac:dyDescent="0.25">
      <c r="A8" s="6"/>
      <c r="B8" s="6"/>
      <c r="C8" s="6"/>
      <c r="D8" s="8"/>
      <c r="E8" s="8"/>
      <c r="F8" s="8"/>
      <c r="G8" s="8"/>
      <c r="H8" s="8"/>
      <c r="I8" s="8"/>
      <c r="J8" s="10"/>
      <c r="K8" s="8"/>
      <c r="L8" s="10"/>
      <c r="M8" s="8"/>
    </row>
    <row r="9" spans="1:18" s="21" customFormat="1" x14ac:dyDescent="0.25">
      <c r="A9" s="6"/>
      <c r="B9" s="6"/>
      <c r="C9" s="6"/>
      <c r="D9" s="22" t="s">
        <v>8</v>
      </c>
      <c r="E9" s="22" t="s">
        <v>4</v>
      </c>
      <c r="F9" s="22" t="s">
        <v>0</v>
      </c>
      <c r="G9" s="22" t="s">
        <v>9</v>
      </c>
      <c r="H9" s="22" t="s">
        <v>2</v>
      </c>
      <c r="I9" s="22" t="s">
        <v>3</v>
      </c>
      <c r="J9" s="23" t="s">
        <v>10</v>
      </c>
      <c r="K9" s="22" t="s">
        <v>6</v>
      </c>
      <c r="L9" s="23" t="s">
        <v>11</v>
      </c>
      <c r="M9" s="22"/>
    </row>
    <row r="10" spans="1:18" x14ac:dyDescent="0.25">
      <c r="A10" s="6"/>
      <c r="B10" s="6"/>
      <c r="C10" s="6"/>
      <c r="D10" s="8">
        <v>5</v>
      </c>
      <c r="E10" s="9">
        <v>44986</v>
      </c>
      <c r="F10" s="8" t="s">
        <v>28</v>
      </c>
      <c r="G10" s="8" t="s">
        <v>28</v>
      </c>
      <c r="H10" s="8" t="s">
        <v>27</v>
      </c>
      <c r="I10" s="8" t="s">
        <v>18</v>
      </c>
      <c r="J10" s="10">
        <v>850000</v>
      </c>
      <c r="K10" s="8">
        <v>9</v>
      </c>
      <c r="L10" s="10">
        <f>ListeAchat[[#This Row],[Quantité]]*ListeAchat[[#This Row],[Prix d''achat]]</f>
        <v>7650000</v>
      </c>
      <c r="M10" s="8"/>
    </row>
    <row r="11" spans="1:18" x14ac:dyDescent="0.25">
      <c r="A11" s="6"/>
      <c r="B11" s="6"/>
      <c r="C11" s="6"/>
      <c r="D11" s="8">
        <v>4</v>
      </c>
      <c r="E11" s="9">
        <v>44958</v>
      </c>
      <c r="F11" s="8" t="s">
        <v>26</v>
      </c>
      <c r="G11" s="8" t="s">
        <v>26</v>
      </c>
      <c r="H11" s="8" t="s">
        <v>27</v>
      </c>
      <c r="I11" s="8" t="s">
        <v>23</v>
      </c>
      <c r="J11" s="10">
        <v>1300000</v>
      </c>
      <c r="K11" s="8">
        <v>10</v>
      </c>
      <c r="L11" s="10">
        <f>ListeAchat[[#This Row],[Quantité]]*ListeAchat[[#This Row],[Prix d''achat]]</f>
        <v>13000000</v>
      </c>
      <c r="M11" s="8"/>
    </row>
    <row r="12" spans="1:18" x14ac:dyDescent="0.25">
      <c r="A12" s="6"/>
      <c r="B12" s="6"/>
      <c r="C12" s="6"/>
      <c r="D12" s="8">
        <v>3</v>
      </c>
      <c r="E12" s="9">
        <v>44929</v>
      </c>
      <c r="F12" s="8" t="s">
        <v>15</v>
      </c>
      <c r="G12" s="8" t="s">
        <v>16</v>
      </c>
      <c r="H12" s="8" t="s">
        <v>17</v>
      </c>
      <c r="I12" s="8" t="s">
        <v>18</v>
      </c>
      <c r="J12" s="10">
        <v>900000</v>
      </c>
      <c r="K12" s="8">
        <v>5</v>
      </c>
      <c r="L12" s="10">
        <f>ListeAchat[[#This Row],[Quantité]]*ListeAchat[[#This Row],[Prix d''achat]]</f>
        <v>4500000</v>
      </c>
      <c r="M12" s="8"/>
    </row>
    <row r="13" spans="1:18" x14ac:dyDescent="0.25">
      <c r="A13" s="6"/>
      <c r="B13" s="6"/>
      <c r="C13" s="6"/>
      <c r="D13" s="8">
        <v>2</v>
      </c>
      <c r="E13" s="9">
        <v>44928</v>
      </c>
      <c r="F13" s="8" t="s">
        <v>21</v>
      </c>
      <c r="G13" s="8" t="s">
        <v>22</v>
      </c>
      <c r="H13" s="8" t="s">
        <v>17</v>
      </c>
      <c r="I13" s="8" t="s">
        <v>23</v>
      </c>
      <c r="J13" s="10">
        <v>850000</v>
      </c>
      <c r="K13" s="8">
        <v>10</v>
      </c>
      <c r="L13" s="10">
        <f>ListeAchat[[#This Row],[Quantité]]*ListeAchat[[#This Row],[Prix d''achat]]</f>
        <v>8500000</v>
      </c>
      <c r="M13" s="8"/>
    </row>
    <row r="14" spans="1:18" x14ac:dyDescent="0.25">
      <c r="A14" s="6"/>
      <c r="B14" s="6"/>
      <c r="C14" s="6"/>
      <c r="D14" s="8">
        <v>1</v>
      </c>
      <c r="E14" s="9">
        <v>44927</v>
      </c>
      <c r="F14" s="8" t="s">
        <v>15</v>
      </c>
      <c r="G14" s="8" t="s">
        <v>16</v>
      </c>
      <c r="H14" s="8" t="s">
        <v>17</v>
      </c>
      <c r="I14" s="8" t="s">
        <v>18</v>
      </c>
      <c r="J14" s="10">
        <v>900000</v>
      </c>
      <c r="K14" s="8">
        <v>5</v>
      </c>
      <c r="L14" s="10">
        <f>ListeAchat[[#This Row],[Quantité]]*ListeAchat[[#This Row],[Prix d''achat]]</f>
        <v>4500000</v>
      </c>
      <c r="M14" s="8"/>
    </row>
    <row r="15" spans="1:18" x14ac:dyDescent="0.25">
      <c r="D15" s="8"/>
      <c r="E15" s="8"/>
      <c r="F15" s="8"/>
      <c r="G15" s="8"/>
      <c r="H15" s="8"/>
      <c r="I15" s="8"/>
      <c r="J15" s="10"/>
      <c r="K15" s="8"/>
      <c r="L15" s="10"/>
      <c r="M15" s="8"/>
    </row>
    <row r="16" spans="1:18" x14ac:dyDescent="0.25">
      <c r="D16" s="8"/>
      <c r="E16" s="8"/>
      <c r="F16" s="8"/>
      <c r="G16" s="8"/>
      <c r="H16" s="8"/>
      <c r="I16" s="8"/>
      <c r="J16" s="10"/>
      <c r="K16" s="8"/>
      <c r="L16" s="10"/>
      <c r="M16" s="8"/>
    </row>
    <row r="17" spans="4:13" x14ac:dyDescent="0.25">
      <c r="D17" s="8"/>
      <c r="E17" s="8"/>
      <c r="F17" s="8"/>
      <c r="G17" s="8"/>
      <c r="H17" s="8"/>
      <c r="I17" s="8"/>
      <c r="J17" s="10"/>
      <c r="K17" s="8"/>
      <c r="L17" s="10"/>
      <c r="M17" s="8"/>
    </row>
    <row r="18" spans="4:13" x14ac:dyDescent="0.25">
      <c r="D18" s="8"/>
      <c r="E18" s="8"/>
      <c r="F18" s="8"/>
      <c r="G18" s="8"/>
      <c r="H18" s="8"/>
      <c r="I18" s="8"/>
      <c r="J18" s="10"/>
      <c r="K18" s="8"/>
      <c r="L18" s="10"/>
      <c r="M18" s="8"/>
    </row>
    <row r="19" spans="4:13" x14ac:dyDescent="0.25">
      <c r="D19" s="8"/>
      <c r="E19" s="8"/>
      <c r="F19" s="8"/>
      <c r="G19" s="8"/>
      <c r="H19" s="8"/>
      <c r="I19" s="8"/>
      <c r="J19" s="10"/>
      <c r="K19" s="8"/>
      <c r="L19" s="10"/>
      <c r="M19" s="8"/>
    </row>
    <row r="20" spans="4:13" x14ac:dyDescent="0.25">
      <c r="D20" s="8"/>
      <c r="E20" s="8"/>
      <c r="F20" s="8"/>
      <c r="G20" s="8"/>
      <c r="H20" s="8"/>
      <c r="I20" s="8"/>
      <c r="J20" s="10"/>
      <c r="K20" s="8"/>
      <c r="L20" s="10"/>
      <c r="M20" s="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C4667-1DA2-4E2A-A6BE-58CE8A6ED70E}">
  <sheetPr codeName="Feuil5"/>
  <dimension ref="A1:R20"/>
  <sheetViews>
    <sheetView showGridLines="0" topLeftCell="B1" workbookViewId="0">
      <selection activeCell="F12" sqref="F12"/>
    </sheetView>
  </sheetViews>
  <sheetFormatPr baseColWidth="10" defaultRowHeight="15" x14ac:dyDescent="0.25"/>
  <cols>
    <col min="1" max="3" width="11.42578125" style="7"/>
    <col min="4" max="4" width="11.5703125" style="7" bestFit="1" customWidth="1"/>
    <col min="5" max="5" width="10.7109375" style="29" bestFit="1" customWidth="1"/>
    <col min="6" max="6" width="12.42578125" style="7" bestFit="1" customWidth="1"/>
    <col min="7" max="7" width="14.140625" style="7" customWidth="1"/>
    <col min="8" max="8" width="11.7109375" style="7" customWidth="1"/>
    <col min="9" max="9" width="11.42578125" style="7"/>
    <col min="10" max="10" width="16.140625" style="20" bestFit="1" customWidth="1"/>
    <col min="11" max="11" width="11.5703125" style="7" bestFit="1" customWidth="1"/>
    <col min="12" max="12" width="14.5703125" style="20" bestFit="1" customWidth="1"/>
    <col min="13" max="16384" width="11.42578125" style="7"/>
  </cols>
  <sheetData>
    <row r="1" spans="1:18" x14ac:dyDescent="0.25">
      <c r="A1" s="6"/>
      <c r="B1" s="6"/>
      <c r="C1" s="6"/>
      <c r="D1" s="6"/>
      <c r="E1" s="28"/>
      <c r="F1" s="6"/>
      <c r="G1" s="6"/>
      <c r="H1" s="6"/>
      <c r="I1" s="6"/>
      <c r="J1" s="19"/>
      <c r="K1" s="6"/>
      <c r="L1" s="19"/>
      <c r="M1" s="6"/>
      <c r="N1" s="6"/>
      <c r="O1" s="6"/>
      <c r="P1" s="6"/>
      <c r="Q1" s="6"/>
      <c r="R1" s="6"/>
    </row>
    <row r="2" spans="1:18" ht="9" customHeight="1" x14ac:dyDescent="0.25">
      <c r="A2" s="6"/>
      <c r="B2" s="6"/>
      <c r="C2" s="6"/>
      <c r="D2" s="6"/>
      <c r="E2" s="28"/>
      <c r="F2" s="6"/>
      <c r="G2" s="6"/>
      <c r="H2" s="6"/>
      <c r="I2" s="6"/>
      <c r="J2" s="19"/>
      <c r="K2" s="6"/>
      <c r="L2" s="19"/>
      <c r="M2" s="6"/>
      <c r="N2" s="6"/>
      <c r="O2" s="6"/>
      <c r="P2" s="6"/>
      <c r="Q2" s="6"/>
      <c r="R2" s="6"/>
    </row>
    <row r="3" spans="1:18" ht="8.25" customHeight="1" x14ac:dyDescent="0.25">
      <c r="A3" s="6"/>
      <c r="B3" s="6"/>
      <c r="C3" s="6"/>
      <c r="D3" s="8"/>
      <c r="E3" s="9"/>
      <c r="F3" s="8"/>
      <c r="G3" s="8"/>
      <c r="H3" s="8"/>
      <c r="I3" s="8"/>
      <c r="J3" s="10"/>
      <c r="K3" s="8"/>
      <c r="L3" s="10"/>
      <c r="M3" s="8"/>
      <c r="N3" s="6"/>
      <c r="O3" s="6"/>
      <c r="P3" s="6"/>
      <c r="Q3" s="6"/>
      <c r="R3" s="6"/>
    </row>
    <row r="4" spans="1:18" ht="9.75" customHeight="1" x14ac:dyDescent="0.25">
      <c r="A4" s="6"/>
      <c r="B4" s="6"/>
      <c r="C4" s="6"/>
      <c r="D4" s="8"/>
      <c r="E4" s="9"/>
      <c r="F4" s="8"/>
      <c r="G4" s="8"/>
      <c r="H4" s="8"/>
      <c r="I4" s="8"/>
      <c r="J4" s="10"/>
      <c r="K4" s="8"/>
      <c r="L4" s="10"/>
      <c r="M4" s="8"/>
      <c r="N4" s="6"/>
      <c r="O4" s="6"/>
      <c r="P4" s="6"/>
      <c r="Q4" s="6"/>
      <c r="R4" s="6"/>
    </row>
    <row r="5" spans="1:18" ht="8.25" customHeight="1" x14ac:dyDescent="0.25">
      <c r="A5" s="6"/>
      <c r="B5" s="6"/>
      <c r="C5" s="6"/>
      <c r="D5" s="8"/>
      <c r="E5" s="9"/>
      <c r="F5" s="8"/>
      <c r="G5" s="8"/>
      <c r="H5" s="8"/>
      <c r="I5" s="8"/>
      <c r="J5" s="10"/>
      <c r="K5" s="8"/>
      <c r="L5" s="10"/>
      <c r="M5" s="8"/>
    </row>
    <row r="6" spans="1:18" ht="18" customHeight="1" x14ac:dyDescent="0.25">
      <c r="A6" s="6"/>
      <c r="B6" s="6"/>
      <c r="C6" s="6"/>
      <c r="D6" s="8" t="s">
        <v>42</v>
      </c>
      <c r="E6" s="9"/>
      <c r="F6" s="8"/>
      <c r="G6" s="8"/>
      <c r="H6" s="8"/>
      <c r="I6" s="8"/>
      <c r="J6" s="10"/>
      <c r="K6" s="8"/>
      <c r="L6" s="10"/>
      <c r="M6" s="8"/>
    </row>
    <row r="7" spans="1:18" x14ac:dyDescent="0.25">
      <c r="A7" s="6"/>
      <c r="B7" s="6"/>
      <c r="C7" s="6"/>
      <c r="D7" s="8" t="s">
        <v>43</v>
      </c>
      <c r="E7" s="9"/>
      <c r="F7" s="8"/>
      <c r="G7" s="8"/>
      <c r="H7" s="8"/>
      <c r="I7" s="8"/>
      <c r="J7" s="10"/>
      <c r="K7" s="8"/>
      <c r="L7" s="10"/>
      <c r="M7" s="8"/>
    </row>
    <row r="8" spans="1:18" x14ac:dyDescent="0.25">
      <c r="A8" s="6"/>
      <c r="B8" s="6"/>
      <c r="C8" s="6"/>
      <c r="D8" s="8"/>
      <c r="E8" s="9"/>
      <c r="F8" s="8"/>
      <c r="G8" s="8"/>
      <c r="H8" s="8"/>
      <c r="I8" s="8"/>
      <c r="J8" s="10"/>
      <c r="K8" s="8"/>
      <c r="L8" s="10"/>
      <c r="M8" s="8"/>
    </row>
    <row r="9" spans="1:18" s="21" customFormat="1" x14ac:dyDescent="0.25">
      <c r="A9" s="6"/>
      <c r="B9" s="6"/>
      <c r="C9" s="6"/>
      <c r="D9" s="22" t="s">
        <v>8</v>
      </c>
      <c r="E9" s="27" t="s">
        <v>4</v>
      </c>
      <c r="F9" s="22" t="s">
        <v>0</v>
      </c>
      <c r="G9" s="22" t="s">
        <v>9</v>
      </c>
      <c r="H9" s="22" t="s">
        <v>2</v>
      </c>
      <c r="I9" s="22" t="s">
        <v>3</v>
      </c>
      <c r="J9" s="23" t="s">
        <v>24</v>
      </c>
      <c r="K9" s="22" t="s">
        <v>6</v>
      </c>
      <c r="L9" s="23" t="s">
        <v>11</v>
      </c>
      <c r="M9" s="22"/>
    </row>
    <row r="10" spans="1:18" x14ac:dyDescent="0.25">
      <c r="A10" s="6"/>
      <c r="B10" s="6"/>
      <c r="C10" s="6"/>
      <c r="D10" s="8">
        <v>4</v>
      </c>
      <c r="E10" s="9">
        <v>44986</v>
      </c>
      <c r="F10" s="8" t="s">
        <v>28</v>
      </c>
      <c r="G10" s="8" t="s">
        <v>28</v>
      </c>
      <c r="H10" s="8" t="s">
        <v>27</v>
      </c>
      <c r="I10" s="8" t="s">
        <v>18</v>
      </c>
      <c r="J10" s="10">
        <v>1200000</v>
      </c>
      <c r="K10" s="8">
        <v>7</v>
      </c>
      <c r="L10" s="10">
        <f>ListeVente[[#This Row],[Quantité]]*ListeVente[[#This Row],[Prix de Vente]]</f>
        <v>8400000</v>
      </c>
      <c r="M10" s="8"/>
    </row>
    <row r="11" spans="1:18" x14ac:dyDescent="0.25">
      <c r="A11" s="6"/>
      <c r="B11" s="6"/>
      <c r="C11" s="6"/>
      <c r="D11" s="8">
        <v>3</v>
      </c>
      <c r="E11" s="9">
        <v>44958</v>
      </c>
      <c r="F11" s="8" t="s">
        <v>26</v>
      </c>
      <c r="G11" s="8" t="s">
        <v>26</v>
      </c>
      <c r="H11" s="8" t="s">
        <v>27</v>
      </c>
      <c r="I11" s="8" t="s">
        <v>23</v>
      </c>
      <c r="J11" s="10">
        <v>1500000</v>
      </c>
      <c r="K11" s="8">
        <v>8</v>
      </c>
      <c r="L11" s="10">
        <f>ListeVente[[#This Row],[Quantité]]*ListeVente[[#This Row],[Prix de Vente]]</f>
        <v>12000000</v>
      </c>
      <c r="M11" s="8"/>
    </row>
    <row r="12" spans="1:18" x14ac:dyDescent="0.25">
      <c r="A12" s="6"/>
      <c r="B12" s="6"/>
      <c r="C12" s="6"/>
      <c r="D12" s="8">
        <v>2</v>
      </c>
      <c r="E12" s="9">
        <v>44928</v>
      </c>
      <c r="F12" s="8" t="s">
        <v>21</v>
      </c>
      <c r="G12" s="8" t="s">
        <v>22</v>
      </c>
      <c r="H12" s="8" t="s">
        <v>17</v>
      </c>
      <c r="I12" s="8" t="s">
        <v>23</v>
      </c>
      <c r="J12" s="10">
        <v>1000000</v>
      </c>
      <c r="K12" s="8">
        <v>5</v>
      </c>
      <c r="L12" s="10">
        <f>ListeVente[[#This Row],[Quantité]]*ListeVente[[#This Row],[Prix de Vente]]</f>
        <v>5000000</v>
      </c>
      <c r="M12" s="8"/>
    </row>
    <row r="13" spans="1:18" x14ac:dyDescent="0.25">
      <c r="A13" s="6"/>
      <c r="B13" s="6"/>
      <c r="C13" s="6"/>
      <c r="D13" s="8">
        <v>1</v>
      </c>
      <c r="E13" s="9">
        <v>44927</v>
      </c>
      <c r="F13" s="8" t="s">
        <v>15</v>
      </c>
      <c r="G13" s="8" t="s">
        <v>16</v>
      </c>
      <c r="H13" s="8" t="s">
        <v>17</v>
      </c>
      <c r="I13" s="8" t="s">
        <v>18</v>
      </c>
      <c r="J13" s="10">
        <v>1000000</v>
      </c>
      <c r="K13" s="8">
        <v>5</v>
      </c>
      <c r="L13" s="10">
        <f>ListeVente[[#This Row],[Quantité]]*ListeVente[[#This Row],[Prix de Vente]]</f>
        <v>5000000</v>
      </c>
      <c r="M13" s="8"/>
    </row>
    <row r="14" spans="1:18" x14ac:dyDescent="0.25">
      <c r="D14" s="8"/>
      <c r="E14" s="9"/>
      <c r="F14" s="8"/>
      <c r="G14" s="8"/>
      <c r="H14" s="8"/>
      <c r="I14" s="8"/>
      <c r="J14" s="10"/>
      <c r="K14" s="8"/>
      <c r="L14" s="10"/>
      <c r="M14" s="8"/>
    </row>
    <row r="15" spans="1:18" x14ac:dyDescent="0.25">
      <c r="D15" s="8"/>
      <c r="E15" s="9"/>
      <c r="F15" s="8"/>
      <c r="G15" s="8"/>
      <c r="H15" s="8"/>
      <c r="I15" s="8"/>
      <c r="J15" s="10"/>
      <c r="K15" s="8"/>
      <c r="L15" s="10"/>
      <c r="M15" s="8"/>
    </row>
    <row r="16" spans="1:18" x14ac:dyDescent="0.25">
      <c r="D16" s="8"/>
      <c r="E16" s="9"/>
      <c r="F16" s="8"/>
      <c r="G16" s="8"/>
      <c r="H16" s="8"/>
      <c r="I16" s="8"/>
      <c r="J16" s="10"/>
      <c r="K16" s="8"/>
      <c r="L16" s="10"/>
      <c r="M16" s="8"/>
    </row>
    <row r="17" spans="4:13" x14ac:dyDescent="0.25">
      <c r="D17" s="8"/>
      <c r="E17" s="9"/>
      <c r="F17" s="8"/>
      <c r="G17" s="8"/>
      <c r="H17" s="8"/>
      <c r="I17" s="8"/>
      <c r="J17" s="10"/>
      <c r="K17" s="8"/>
      <c r="L17" s="10"/>
      <c r="M17" s="8"/>
    </row>
    <row r="18" spans="4:13" x14ac:dyDescent="0.25">
      <c r="D18" s="8"/>
      <c r="E18" s="9"/>
      <c r="F18" s="8"/>
      <c r="G18" s="8"/>
      <c r="H18" s="8"/>
      <c r="I18" s="8"/>
      <c r="J18" s="10"/>
      <c r="K18" s="8"/>
      <c r="L18" s="10"/>
      <c r="M18" s="8"/>
    </row>
    <row r="19" spans="4:13" x14ac:dyDescent="0.25">
      <c r="D19" s="8"/>
      <c r="E19" s="9"/>
      <c r="F19" s="8"/>
      <c r="G19" s="8"/>
      <c r="H19" s="8"/>
      <c r="I19" s="8"/>
      <c r="J19" s="10"/>
      <c r="K19" s="8"/>
      <c r="L19" s="10"/>
      <c r="M19" s="8"/>
    </row>
    <row r="20" spans="4:13" x14ac:dyDescent="0.25">
      <c r="D20" s="8"/>
      <c r="E20" s="9"/>
      <c r="F20" s="8"/>
      <c r="G20" s="8"/>
      <c r="H20" s="8"/>
      <c r="I20" s="8"/>
      <c r="J20" s="10"/>
      <c r="K20" s="8"/>
      <c r="L20" s="10"/>
      <c r="M20" s="8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EB86B-ACC5-4485-8B2F-8E181331E7B8}">
  <sheetPr codeName="Feuil6"/>
  <dimension ref="A1:Q26"/>
  <sheetViews>
    <sheetView showGridLines="0" topLeftCell="B1" workbookViewId="0">
      <selection activeCell="D6" sqref="D6"/>
    </sheetView>
  </sheetViews>
  <sheetFormatPr baseColWidth="10" defaultRowHeight="15.75" x14ac:dyDescent="0.25"/>
  <cols>
    <col min="1" max="1" width="11.42578125" style="32"/>
    <col min="2" max="2" width="2.5703125" style="32" customWidth="1"/>
    <col min="3" max="3" width="2.85546875" style="32" customWidth="1"/>
    <col min="4" max="4" width="13.140625" style="32" customWidth="1"/>
    <col min="5" max="5" width="14.5703125" style="32" customWidth="1"/>
    <col min="6" max="6" width="12.5703125" style="32" customWidth="1"/>
    <col min="7" max="7" width="11.42578125" style="32"/>
    <col min="8" max="8" width="15.140625" style="32" customWidth="1"/>
    <col min="9" max="9" width="14.42578125" style="32" customWidth="1"/>
    <col min="10" max="10" width="15.28515625" style="32" customWidth="1"/>
    <col min="11" max="11" width="11.42578125" style="32"/>
    <col min="12" max="12" width="13.42578125" style="32" bestFit="1" customWidth="1"/>
    <col min="13" max="13" width="15.28515625" style="39" bestFit="1" customWidth="1"/>
    <col min="14" max="14" width="16.5703125" style="39" bestFit="1" customWidth="1"/>
    <col min="15" max="15" width="20.42578125" style="32" bestFit="1" customWidth="1"/>
    <col min="16" max="16384" width="11.42578125" style="32"/>
  </cols>
  <sheetData>
    <row r="1" spans="1:17" x14ac:dyDescent="0.25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6"/>
      <c r="N1" s="36"/>
      <c r="O1" s="31"/>
      <c r="P1" s="31"/>
      <c r="Q1" s="31"/>
    </row>
    <row r="2" spans="1:17" x14ac:dyDescent="0.2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6"/>
      <c r="N2" s="36"/>
      <c r="O2" s="31"/>
      <c r="P2" s="31"/>
      <c r="Q2" s="31"/>
    </row>
    <row r="3" spans="1:17" x14ac:dyDescent="0.25">
      <c r="A3" s="31"/>
      <c r="B3" s="31"/>
      <c r="C3" s="31"/>
      <c r="D3" s="33" t="s">
        <v>44</v>
      </c>
      <c r="E3" s="33"/>
      <c r="F3" s="33"/>
      <c r="G3" s="33"/>
      <c r="H3" s="33"/>
      <c r="I3" s="33"/>
      <c r="J3" s="33"/>
      <c r="K3" s="33"/>
      <c r="L3" s="33"/>
      <c r="M3" s="37"/>
      <c r="N3" s="37"/>
      <c r="O3" s="33"/>
      <c r="P3" s="31"/>
      <c r="Q3" s="31"/>
    </row>
    <row r="4" spans="1:17" x14ac:dyDescent="0.25">
      <c r="D4" s="13"/>
      <c r="E4" s="13"/>
      <c r="F4" s="13"/>
      <c r="G4" s="13"/>
      <c r="H4" s="13"/>
      <c r="I4" s="13"/>
      <c r="J4" s="13"/>
      <c r="K4" s="13"/>
      <c r="L4" s="13"/>
      <c r="M4" s="14"/>
      <c r="N4" s="14"/>
      <c r="O4" s="13"/>
    </row>
    <row r="5" spans="1:17" s="34" customFormat="1" x14ac:dyDescent="0.25">
      <c r="D5" s="35" t="s">
        <v>0</v>
      </c>
      <c r="E5" s="35" t="s">
        <v>1</v>
      </c>
      <c r="F5" s="35" t="s">
        <v>2</v>
      </c>
      <c r="G5" s="35" t="s">
        <v>3</v>
      </c>
      <c r="H5" s="35" t="s">
        <v>19</v>
      </c>
      <c r="I5" s="35" t="s">
        <v>20</v>
      </c>
      <c r="J5" s="35" t="s">
        <v>45</v>
      </c>
      <c r="K5" s="35" t="s">
        <v>46</v>
      </c>
      <c r="L5" s="35" t="s">
        <v>47</v>
      </c>
      <c r="M5" s="38" t="s">
        <v>48</v>
      </c>
      <c r="N5" s="38" t="s">
        <v>49</v>
      </c>
      <c r="O5" s="35" t="s">
        <v>50</v>
      </c>
    </row>
    <row r="6" spans="1:17" x14ac:dyDescent="0.25">
      <c r="D6" s="13" t="s">
        <v>21</v>
      </c>
      <c r="E6" s="13" t="str">
        <f>IFERROR(VLOOKUP(ListeIventaire[[#This Row],[Référence]],ListeMarchandise[],2,FALSE),"")</f>
        <v>Telephone A20</v>
      </c>
      <c r="F6" s="13" t="str">
        <f>IFERROR(VLOOKUP(ListeIventaire[[#This Row],[Référence]],ListeMarchandise[],3,FALSE),"")</f>
        <v>Smartphone</v>
      </c>
      <c r="G6" s="13" t="str">
        <f>IFERROR(VLOOKUP(ListeIventaire[[#This Row],[Référence]],ListeMarchandise[],4,FALSE),"")</f>
        <v>1pièce</v>
      </c>
      <c r="H6" s="13">
        <f>IFERROR(VLOOKUP(ListeIventaire[[#This Row],[Référence]],ListeMarchandise[],5,FALSE),"")</f>
        <v>5</v>
      </c>
      <c r="I6" s="13">
        <f>IFERROR(VLOOKUP(ListeIventaire[[#This Row],[Référence]],ListeMarchandise[],6,FALSE),"")</f>
        <v>10</v>
      </c>
      <c r="J6" s="13">
        <f>SUMIF(ListeAchat[Référence],ListeIventaire[Référence],ListeAchat[Quantité])</f>
        <v>10</v>
      </c>
      <c r="K6" s="13">
        <f>IFERROR(SUMIF(ListeVente[Référence],ListeIventaire[Référence],ListeVente[Quantité]),"")</f>
        <v>5</v>
      </c>
      <c r="L6" s="13">
        <f>IFERROR((ListeIventaire[[#This Row],[Stock initial]]+ListeIventaire[[#This Row],[Entrée]]-ListeIventaire[[#This Row],[Sortie]]),"")</f>
        <v>15</v>
      </c>
      <c r="M6" s="14">
        <f>IFERROR(((VLOOKUP(ListeIventaire[[#This Row],[Référence]],ListeMarchandise[],8,FALSE)+SUMIF(ListeAchat[Référence],ListeIventaire[Référence],ListeAchat[total]))/(VLOOKUP(ListeIventaire[[#This Row],[Référence]],ListeMarchandise[],6,FALSE)+SUMIF(ListeAchat[Référence],ListeIventaire[Référence],ListeAchat[Quantité]))),"")</f>
        <v>850000</v>
      </c>
      <c r="N6" s="14">
        <f>IFERROR((ListeIventaire[[#This Row],[CUMP]]*ListeIventaire[[#This Row],[Stock final]]),"")</f>
        <v>12750000</v>
      </c>
      <c r="O6" s="13" t="str">
        <f>IFERROR(IF(ListeIventaire[[#This Row],[Stock final]]&gt;ListeIventaire[[#This Row],[Seuil D''alert]],"Stock Normal",IF(ListeIventaire[[#This Row],[Stock final]]=0,"Stock Non Disponible","stock faible")),"")</f>
        <v>Stock Normal</v>
      </c>
    </row>
    <row r="7" spans="1:17" x14ac:dyDescent="0.25">
      <c r="D7" s="13" t="s">
        <v>25</v>
      </c>
      <c r="E7" s="13" t="str">
        <f>IFERROR(VLOOKUP(ListeIventaire[[#This Row],[Référence]],ListeMarchandise[],2,FALSE),"")</f>
        <v>A30</v>
      </c>
      <c r="F7" s="13" t="str">
        <f>IFERROR(VLOOKUP(ListeIventaire[[#This Row],[Référence]],ListeMarchandise[],3,FALSE),"")</f>
        <v>Smartphone</v>
      </c>
      <c r="G7" s="13" t="str">
        <f>IFERROR(VLOOKUP(ListeIventaire[[#This Row],[Référence]],ListeMarchandise[],4,FALSE),"")</f>
        <v>1 pièce</v>
      </c>
      <c r="H7" s="13">
        <f>IFERROR(VLOOKUP(ListeIventaire[[#This Row],[Référence]],ListeMarchandise[],5,FALSE),"")</f>
        <v>5</v>
      </c>
      <c r="I7" s="13">
        <f>IFERROR(VLOOKUP(ListeIventaire[[#This Row],[Référence]],ListeMarchandise[],6,FALSE),"")</f>
        <v>25</v>
      </c>
      <c r="J7" s="13">
        <f>SUMIF(ListeAchat[Référence],ListeIventaire[Référence],ListeAchat[Quantité])</f>
        <v>0</v>
      </c>
      <c r="K7" s="13">
        <f>IFERROR(SUMIF(ListeVente[Référence],ListeIventaire[Référence],ListeVente[Quantité]),"")</f>
        <v>0</v>
      </c>
      <c r="L7" s="13">
        <f>IFERROR((ListeIventaire[[#This Row],[Stock initial]]+ListeIventaire[[#This Row],[Entrée]]-ListeIventaire[[#This Row],[Sortie]]),"")</f>
        <v>25</v>
      </c>
      <c r="M7" s="14">
        <f>IFERROR(((VLOOKUP(ListeIventaire[[#This Row],[Référence]],ListeMarchandise[],8,FALSE)+SUMIF(ListeAchat[Référence],ListeIventaire[Référence],ListeAchat[total]))/(VLOOKUP(ListeIventaire[[#This Row],[Référence]],ListeMarchandise[],6,FALSE)+SUMIF(ListeAchat[Référence],ListeIventaire[Référence],ListeAchat[Quantité]))),"")</f>
        <v>900000</v>
      </c>
      <c r="N7" s="14">
        <f>IFERROR((ListeIventaire[[#This Row],[CUMP]]*ListeIventaire[[#This Row],[Stock final]]),"")</f>
        <v>22500000</v>
      </c>
      <c r="O7" s="13" t="str">
        <f>IFERROR(IF(ListeIventaire[[#This Row],[Stock final]]&gt;ListeIventaire[[#This Row],[Seuil D''alert]],"Stock Normal",IF(ListeIventaire[[#This Row],[Stock final]]=0,"Stock Non Disponible","stock faible")),"")</f>
        <v>Stock Normal</v>
      </c>
    </row>
    <row r="8" spans="1:17" x14ac:dyDescent="0.25">
      <c r="D8" s="13" t="s">
        <v>26</v>
      </c>
      <c r="E8" s="13" t="str">
        <f>IFERROR(VLOOKUP(ListeIventaire[[#This Row],[Référence]],ListeMarchandise[],2,FALSE),"")</f>
        <v>A13</v>
      </c>
      <c r="F8" s="13" t="str">
        <f>IFERROR(VLOOKUP(ListeIventaire[[#This Row],[Référence]],ListeMarchandise[],3,FALSE),"")</f>
        <v>Smart</v>
      </c>
      <c r="G8" s="13" t="str">
        <f>IFERROR(VLOOKUP(ListeIventaire[[#This Row],[Référence]],ListeMarchandise[],4,FALSE),"")</f>
        <v>1pièce</v>
      </c>
      <c r="H8" s="13">
        <f>IFERROR(VLOOKUP(ListeIventaire[[#This Row],[Référence]],ListeMarchandise[],5,FALSE),"")</f>
        <v>5</v>
      </c>
      <c r="I8" s="13">
        <f>IFERROR(VLOOKUP(ListeIventaire[[#This Row],[Référence]],ListeMarchandise[],6,FALSE),"")</f>
        <v>22</v>
      </c>
      <c r="J8" s="13">
        <f>SUMIF(ListeAchat[Référence],ListeIventaire[Référence],ListeAchat[Quantité])</f>
        <v>10</v>
      </c>
      <c r="K8" s="13">
        <f>IFERROR(SUMIF(ListeVente[Référence],ListeIventaire[Référence],ListeVente[Quantité]),"")</f>
        <v>8</v>
      </c>
      <c r="L8" s="13">
        <f>IFERROR((ListeIventaire[[#This Row],[Stock initial]]+ListeIventaire[[#This Row],[Entrée]]-ListeIventaire[[#This Row],[Sortie]]),"")</f>
        <v>24</v>
      </c>
      <c r="M8" s="14">
        <f>IFERROR(((VLOOKUP(ListeIventaire[[#This Row],[Référence]],ListeMarchandise[],8,FALSE)+SUMIF(ListeAchat[Référence],ListeIventaire[Référence],ListeAchat[total]))/(VLOOKUP(ListeIventaire[[#This Row],[Référence]],ListeMarchandise[],6,FALSE)+SUMIF(ListeAchat[Référence],ListeIventaire[Référence],ListeAchat[Quantité]))),"")</f>
        <v>1300000</v>
      </c>
      <c r="N8" s="14">
        <f>IFERROR((ListeIventaire[[#This Row],[CUMP]]*ListeIventaire[[#This Row],[Stock final]]),"")</f>
        <v>31200000</v>
      </c>
      <c r="O8" s="13" t="str">
        <f>IFERROR(IF(ListeIventaire[[#This Row],[Stock final]]&gt;ListeIventaire[[#This Row],[Seuil D''alert]],"Stock Normal",IF(ListeIventaire[[#This Row],[Stock final]]=0,"Stock Non Disponible","stock faible")),"")</f>
        <v>Stock Normal</v>
      </c>
    </row>
    <row r="9" spans="1:17" x14ac:dyDescent="0.25">
      <c r="D9" s="13" t="s">
        <v>28</v>
      </c>
      <c r="E9" s="13" t="str">
        <f>IFERROR(VLOOKUP(ListeIventaire[[#This Row],[Référence]],ListeMarchandise[],2,FALSE),"")</f>
        <v>A12</v>
      </c>
      <c r="F9" s="13" t="str">
        <f>IFERROR(VLOOKUP(ListeIventaire[[#This Row],[Référence]],ListeMarchandise[],3,FALSE),"")</f>
        <v>Smart</v>
      </c>
      <c r="G9" s="13" t="str">
        <f>IFERROR(VLOOKUP(ListeIventaire[[#This Row],[Référence]],ListeMarchandise[],4,FALSE),"")</f>
        <v>1 pièce</v>
      </c>
      <c r="H9" s="13">
        <f>IFERROR(VLOOKUP(ListeIventaire[[#This Row],[Référence]],ListeMarchandise[],5,FALSE),"")</f>
        <v>10</v>
      </c>
      <c r="I9" s="13">
        <f>IFERROR(VLOOKUP(ListeIventaire[[#This Row],[Référence]],ListeMarchandise[],6,FALSE),"")</f>
        <v>14</v>
      </c>
      <c r="J9" s="13">
        <f>SUMIF(ListeAchat[Référence],ListeIventaire[Référence],ListeAchat[Quantité])</f>
        <v>9</v>
      </c>
      <c r="K9" s="13">
        <f>IFERROR(SUMIF(ListeVente[Référence],ListeIventaire[Référence],ListeVente[Quantité]),"")</f>
        <v>7</v>
      </c>
      <c r="L9" s="13">
        <f>IFERROR((ListeIventaire[[#This Row],[Stock initial]]+ListeIventaire[[#This Row],[Entrée]]-ListeIventaire[[#This Row],[Sortie]]),"")</f>
        <v>16</v>
      </c>
      <c r="M9" s="14">
        <f>IFERROR(((VLOOKUP(ListeIventaire[[#This Row],[Référence]],ListeMarchandise[],8,FALSE)+SUMIF(ListeAchat[Référence],ListeIventaire[Référence],ListeAchat[total]))/(VLOOKUP(ListeIventaire[[#This Row],[Référence]],ListeMarchandise[],6,FALSE)+SUMIF(ListeAchat[Référence],ListeIventaire[Référence],ListeAchat[Quantité]))),"")</f>
        <v>850000</v>
      </c>
      <c r="N9" s="14">
        <f>IFERROR((ListeIventaire[[#This Row],[CUMP]]*ListeIventaire[[#This Row],[Stock final]]),"")</f>
        <v>13600000</v>
      </c>
      <c r="O9" s="13" t="str">
        <f>IFERROR(IF(ListeIventaire[[#This Row],[Stock final]]&gt;ListeIventaire[[#This Row],[Seuil D''alert]],"Stock Normal",IF(ListeIventaire[[#This Row],[Stock final]]=0,"Stock Non Disponible","stock faible")),"")</f>
        <v>Stock Normal</v>
      </c>
    </row>
    <row r="10" spans="1:17" x14ac:dyDescent="0.25">
      <c r="D10" s="13" t="s">
        <v>58</v>
      </c>
      <c r="E10" s="41" t="str">
        <f>IFERROR(VLOOKUP(ListeIventaire[[#This Row],[Référence]],ListeMarchandise[],2,FALSE),"")</f>
        <v>A50</v>
      </c>
      <c r="F10" s="41" t="str">
        <f>IFERROR(VLOOKUP(ListeIventaire[[#This Row],[Référence]],ListeMarchandise[],3,FALSE),"")</f>
        <v>Smartphone</v>
      </c>
      <c r="G10" s="41" t="str">
        <f>IFERROR(VLOOKUP(ListeIventaire[[#This Row],[Référence]],ListeMarchandise[],4,FALSE),"")</f>
        <v>1 pièce</v>
      </c>
      <c r="H10" s="41">
        <f>IFERROR(VLOOKUP(ListeIventaire[[#This Row],[Référence]],ListeMarchandise[],5,FALSE),"")</f>
        <v>10</v>
      </c>
      <c r="I10" s="41">
        <f>IFERROR(VLOOKUP(ListeIventaire[[#This Row],[Référence]],ListeMarchandise[],6,FALSE),"")</f>
        <v>0</v>
      </c>
      <c r="J10" s="41">
        <f>SUMIF(ListeAchat[Référence],ListeIventaire[Référence],ListeAchat[Quantité])</f>
        <v>0</v>
      </c>
      <c r="K10" s="41">
        <f>IFERROR(SUMIF(ListeVente[Référence],ListeIventaire[Référence],ListeVente[Quantité]),"")</f>
        <v>0</v>
      </c>
      <c r="L10" s="41">
        <f>IFERROR((ListeIventaire[[#This Row],[Stock initial]]+ListeIventaire[[#This Row],[Entrée]]-ListeIventaire[[#This Row],[Sortie]]),"")</f>
        <v>0</v>
      </c>
      <c r="M10" s="14" t="str">
        <f>IFERROR(((VLOOKUP(ListeIventaire[[#This Row],[Référence]],ListeMarchandise[],8,FALSE)+SUMIF(ListeAchat[Référence],ListeIventaire[Référence],ListeAchat[total]))/(VLOOKUP(ListeIventaire[[#This Row],[Référence]],ListeMarchandise[],6,FALSE)+SUMIF(ListeAchat[Référence],ListeIventaire[Référence],ListeAchat[Quantité]))),"")</f>
        <v/>
      </c>
      <c r="N10" s="14" t="str">
        <f>IFERROR((ListeIventaire[[#This Row],[CUMP]]*ListeIventaire[[#This Row],[Stock final]]),"")</f>
        <v/>
      </c>
      <c r="O10" s="41" t="str">
        <f>IFERROR(IF(ListeIventaire[[#This Row],[Stock final]]&gt;ListeIventaire[[#This Row],[Seuil D''alert]],"Stock Normal",IF(ListeIventaire[[#This Row],[Stock final]]=0,"Stock Non Disponible","stock faible")),"")</f>
        <v>Stock Non Disponible</v>
      </c>
    </row>
    <row r="11" spans="1:17" x14ac:dyDescent="0.25">
      <c r="D11" s="13" t="s">
        <v>38</v>
      </c>
      <c r="E11" s="41" t="str">
        <f>IFERROR(VLOOKUP(ListeIventaire[[#This Row],[Référence]],ListeMarchandise[],2,FALSE),"")</f>
        <v>S8</v>
      </c>
      <c r="F11" s="41" t="str">
        <f>IFERROR(VLOOKUP(ListeIventaire[[#This Row],[Référence]],ListeMarchandise[],3,FALSE),"")</f>
        <v>Smartphone</v>
      </c>
      <c r="G11" s="41" t="str">
        <f>IFERROR(VLOOKUP(ListeIventaire[[#This Row],[Référence]],ListeMarchandise[],4,FALSE),"")</f>
        <v>1 pièce</v>
      </c>
      <c r="H11" s="41">
        <f>IFERROR(VLOOKUP(ListeIventaire[[#This Row],[Référence]],ListeMarchandise[],5,FALSE),"")</f>
        <v>5</v>
      </c>
      <c r="I11" s="41">
        <f>IFERROR(VLOOKUP(ListeIventaire[[#This Row],[Référence]],ListeMarchandise[],6,FALSE),"")</f>
        <v>2</v>
      </c>
      <c r="J11" s="41">
        <f>SUMIF(ListeAchat[Référence],ListeIventaire[Référence],ListeAchat[Quantité])</f>
        <v>0</v>
      </c>
      <c r="K11" s="41">
        <f>IFERROR(SUMIF(ListeVente[Référence],ListeIventaire[Référence],ListeVente[Quantité]),"")</f>
        <v>0</v>
      </c>
      <c r="L11" s="41">
        <f>IFERROR((ListeIventaire[[#This Row],[Stock initial]]+ListeIventaire[[#This Row],[Entrée]]-ListeIventaire[[#This Row],[Sortie]]),"")</f>
        <v>2</v>
      </c>
      <c r="M11" s="14">
        <f>IFERROR(((VLOOKUP(ListeIventaire[[#This Row],[Référence]],ListeMarchandise[],8,FALSE)+SUMIF(ListeAchat[Référence],ListeIventaire[Référence],ListeAchat[total]))/(VLOOKUP(ListeIventaire[[#This Row],[Référence]],ListeMarchandise[],6,FALSE)+SUMIF(ListeAchat[Référence],ListeIventaire[Référence],ListeAchat[Quantité]))),"")</f>
        <v>1050000</v>
      </c>
      <c r="N11" s="14">
        <f>IFERROR((ListeIventaire[[#This Row],[CUMP]]*ListeIventaire[[#This Row],[Stock final]]),"")</f>
        <v>2100000</v>
      </c>
      <c r="O11" s="41" t="str">
        <f>IFERROR(IF(ListeIventaire[[#This Row],[Stock final]]&gt;ListeIventaire[[#This Row],[Seuil D''alert]],"Stock Normal",IF(ListeIventaire[[#This Row],[Stock final]]=0,"Stock Non Disponible","stock faible")),"")</f>
        <v>stock faible</v>
      </c>
    </row>
    <row r="12" spans="1:17" x14ac:dyDescent="0.25">
      <c r="D12" s="13"/>
      <c r="E12" s="13"/>
      <c r="F12" s="13"/>
      <c r="G12" s="13"/>
      <c r="H12" s="13"/>
      <c r="I12" s="13"/>
      <c r="J12" s="13"/>
      <c r="K12" s="13"/>
      <c r="L12" s="13"/>
      <c r="M12" s="14"/>
      <c r="N12" s="14"/>
      <c r="O12" s="13"/>
    </row>
    <row r="13" spans="1:17" x14ac:dyDescent="0.25">
      <c r="D13" s="13"/>
      <c r="E13" s="13"/>
      <c r="F13" s="13"/>
      <c r="G13" s="13"/>
      <c r="H13" s="13"/>
      <c r="I13" s="13"/>
      <c r="J13" s="13"/>
      <c r="K13" s="13"/>
      <c r="L13" s="13"/>
      <c r="M13" s="14"/>
      <c r="N13" s="14"/>
      <c r="O13" s="13"/>
    </row>
    <row r="14" spans="1:17" x14ac:dyDescent="0.25">
      <c r="D14" s="13"/>
      <c r="E14" s="13"/>
      <c r="F14" s="13"/>
      <c r="G14" s="13"/>
      <c r="H14" s="13"/>
      <c r="I14" s="13"/>
      <c r="J14" s="13"/>
      <c r="K14" s="13"/>
      <c r="L14" s="13"/>
      <c r="M14" s="14"/>
      <c r="N14" s="14"/>
      <c r="O14" s="13"/>
    </row>
    <row r="15" spans="1:17" x14ac:dyDescent="0.25">
      <c r="D15" s="13"/>
      <c r="E15" s="13"/>
      <c r="F15" s="13"/>
      <c r="G15" s="13"/>
      <c r="H15" s="13"/>
      <c r="I15" s="13"/>
      <c r="J15" s="13"/>
      <c r="K15" s="13"/>
      <c r="L15" s="13"/>
      <c r="M15" s="14"/>
      <c r="N15" s="14"/>
      <c r="O15" s="13"/>
    </row>
    <row r="16" spans="1:17" x14ac:dyDescent="0.25">
      <c r="D16" s="13"/>
      <c r="E16" s="13"/>
      <c r="F16" s="13"/>
      <c r="G16" s="13"/>
      <c r="H16" s="13"/>
      <c r="I16" s="13"/>
      <c r="J16" s="13"/>
      <c r="K16" s="13"/>
      <c r="L16" s="13"/>
      <c r="M16" s="14"/>
      <c r="N16" s="14"/>
      <c r="O16" s="13"/>
    </row>
    <row r="17" spans="4:15" x14ac:dyDescent="0.25">
      <c r="D17" s="13"/>
      <c r="E17" s="13"/>
      <c r="F17" s="13"/>
      <c r="G17" s="13"/>
      <c r="H17" s="13"/>
      <c r="I17" s="13"/>
      <c r="J17" s="13"/>
      <c r="K17" s="13"/>
      <c r="L17" s="13"/>
      <c r="M17" s="14"/>
      <c r="N17" s="14"/>
      <c r="O17" s="13"/>
    </row>
    <row r="18" spans="4:15" x14ac:dyDescent="0.25">
      <c r="D18" s="13"/>
      <c r="E18" s="13"/>
      <c r="F18" s="13"/>
      <c r="G18" s="13"/>
      <c r="H18" s="13"/>
      <c r="I18" s="13"/>
      <c r="J18" s="13"/>
      <c r="K18" s="13"/>
      <c r="L18" s="13"/>
      <c r="M18" s="14"/>
      <c r="N18" s="14"/>
      <c r="O18" s="13"/>
    </row>
    <row r="19" spans="4:15" x14ac:dyDescent="0.25">
      <c r="D19" s="13"/>
      <c r="E19" s="13"/>
      <c r="F19" s="13"/>
      <c r="G19" s="13"/>
      <c r="H19" s="13"/>
      <c r="I19" s="13"/>
      <c r="J19" s="13"/>
      <c r="K19" s="13"/>
      <c r="L19" s="13"/>
      <c r="M19" s="14"/>
      <c r="N19" s="14"/>
      <c r="O19" s="13"/>
    </row>
    <row r="20" spans="4:15" x14ac:dyDescent="0.25">
      <c r="D20" s="13"/>
      <c r="E20" s="13"/>
      <c r="F20" s="13"/>
      <c r="G20" s="13"/>
      <c r="H20" s="13"/>
      <c r="I20" s="13"/>
      <c r="J20" s="13"/>
      <c r="K20" s="13"/>
      <c r="L20" s="13"/>
      <c r="M20" s="14"/>
      <c r="N20" s="14"/>
      <c r="O20" s="13"/>
    </row>
    <row r="21" spans="4:15" x14ac:dyDescent="0.25">
      <c r="D21" s="13"/>
      <c r="E21" s="13"/>
      <c r="F21" s="13"/>
      <c r="G21" s="13"/>
      <c r="H21" s="13"/>
      <c r="I21" s="13"/>
      <c r="J21" s="13"/>
      <c r="K21" s="13"/>
      <c r="L21" s="13"/>
      <c r="M21" s="14"/>
      <c r="N21" s="14"/>
      <c r="O21" s="13"/>
    </row>
    <row r="22" spans="4:15" x14ac:dyDescent="0.25">
      <c r="D22" s="13"/>
      <c r="E22" s="13"/>
      <c r="F22" s="13"/>
      <c r="G22" s="13"/>
      <c r="H22" s="13"/>
      <c r="I22" s="13"/>
      <c r="J22" s="13"/>
      <c r="K22" s="13"/>
      <c r="L22" s="13"/>
      <c r="M22" s="14"/>
      <c r="N22" s="14"/>
      <c r="O22" s="13"/>
    </row>
    <row r="23" spans="4:15" x14ac:dyDescent="0.25">
      <c r="D23" s="13"/>
      <c r="E23" s="13"/>
      <c r="F23" s="13"/>
      <c r="G23" s="13"/>
      <c r="H23" s="13"/>
      <c r="I23" s="13"/>
      <c r="J23" s="13"/>
      <c r="K23" s="13"/>
      <c r="L23" s="13"/>
      <c r="M23" s="14"/>
      <c r="N23" s="14"/>
      <c r="O23" s="13"/>
    </row>
    <row r="24" spans="4:15" x14ac:dyDescent="0.25">
      <c r="D24" s="13"/>
      <c r="E24" s="13"/>
      <c r="F24" s="13"/>
      <c r="G24" s="13"/>
      <c r="H24" s="13"/>
      <c r="I24" s="13"/>
      <c r="J24" s="13"/>
      <c r="K24" s="13"/>
      <c r="L24" s="13"/>
      <c r="M24" s="14"/>
      <c r="N24" s="14"/>
      <c r="O24" s="13"/>
    </row>
    <row r="25" spans="4:15" x14ac:dyDescent="0.25">
      <c r="D25" s="13"/>
      <c r="E25" s="13"/>
      <c r="F25" s="13"/>
      <c r="G25" s="13"/>
      <c r="H25" s="13"/>
      <c r="I25" s="13"/>
      <c r="J25" s="13"/>
      <c r="K25" s="13"/>
      <c r="L25" s="13"/>
      <c r="M25" s="14"/>
      <c r="N25" s="14"/>
      <c r="O25" s="13"/>
    </row>
    <row r="26" spans="4:15" x14ac:dyDescent="0.25">
      <c r="D26" s="13"/>
      <c r="E26" s="13"/>
      <c r="F26" s="13"/>
      <c r="G26" s="13"/>
      <c r="H26" s="13"/>
      <c r="I26" s="13"/>
      <c r="J26" s="13"/>
      <c r="K26" s="13"/>
      <c r="L26" s="13"/>
      <c r="M26" s="14"/>
      <c r="N26" s="14"/>
      <c r="O26" s="13"/>
    </row>
  </sheetData>
  <conditionalFormatting sqref="O6:O11">
    <cfRule type="cellIs" dxfId="2" priority="3" operator="equal">
      <formula>"Stock Normal"</formula>
    </cfRule>
  </conditionalFormatting>
  <conditionalFormatting sqref="O6:O11">
    <cfRule type="cellIs" dxfId="1" priority="1" operator="equal">
      <formula>"Stock Non Disponible"</formula>
    </cfRule>
    <cfRule type="cellIs" dxfId="0" priority="2" operator="equal">
      <formula>"Stock faible"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7C247-943A-4D3C-ADD8-E3900A9A710F}">
  <sheetPr codeName="Feuil7"/>
  <dimension ref="A1:K74"/>
  <sheetViews>
    <sheetView workbookViewId="0">
      <selection activeCell="A2" sqref="A2"/>
    </sheetView>
  </sheetViews>
  <sheetFormatPr baseColWidth="10" defaultRowHeight="15" x14ac:dyDescent="0.25"/>
  <cols>
    <col min="1" max="1" width="20.140625" bestFit="1" customWidth="1"/>
    <col min="2" max="2" width="16.85546875" bestFit="1" customWidth="1"/>
    <col min="3" max="3" width="16.140625" bestFit="1" customWidth="1"/>
    <col min="6" max="6" width="19.85546875" bestFit="1" customWidth="1"/>
    <col min="7" max="7" width="11.5703125" customWidth="1"/>
    <col min="9" max="9" width="11.5703125" customWidth="1"/>
    <col min="11" max="11" width="11.5703125" customWidth="1"/>
  </cols>
  <sheetData>
    <row r="1" spans="1:11" x14ac:dyDescent="0.25">
      <c r="A1" s="2" t="s">
        <v>29</v>
      </c>
      <c r="B1" t="s">
        <v>31</v>
      </c>
      <c r="F1" t="s">
        <v>57</v>
      </c>
    </row>
    <row r="2" spans="1:11" x14ac:dyDescent="0.25">
      <c r="A2" s="3" t="s">
        <v>32</v>
      </c>
      <c r="B2" s="4">
        <v>20</v>
      </c>
      <c r="D2" t="s">
        <v>53</v>
      </c>
      <c r="E2">
        <f>VLOOKUP(D2,A$2:B$4,2,FALSE)</f>
        <v>20</v>
      </c>
      <c r="F2">
        <f>IF(E2=MAX(E$2:E$4),E2,"")</f>
        <v>20</v>
      </c>
      <c r="H2" t="s">
        <v>0</v>
      </c>
    </row>
    <row r="3" spans="1:11" x14ac:dyDescent="0.25">
      <c r="A3" s="3" t="s">
        <v>33</v>
      </c>
      <c r="B3" s="4">
        <v>10</v>
      </c>
      <c r="D3" t="s">
        <v>54</v>
      </c>
      <c r="E3">
        <f>VLOOKUP(D3,A$2:B$4,2,FALSE)</f>
        <v>10</v>
      </c>
      <c r="F3" t="str">
        <f>IF(E3=MAX(E$2:E$4),E3,"")</f>
        <v/>
      </c>
      <c r="H3" t="s">
        <v>28</v>
      </c>
    </row>
    <row r="4" spans="1:11" x14ac:dyDescent="0.25">
      <c r="A4" s="3" t="s">
        <v>34</v>
      </c>
      <c r="B4" s="4">
        <v>9</v>
      </c>
      <c r="D4" t="s">
        <v>55</v>
      </c>
      <c r="E4">
        <f>VLOOKUP(D4,A$2:B$4,2,FALSE)</f>
        <v>9</v>
      </c>
      <c r="F4" t="str">
        <f>IF(E4=MAX(E$2:E$4),E4,"")</f>
        <v/>
      </c>
      <c r="H4" t="s">
        <v>26</v>
      </c>
    </row>
    <row r="5" spans="1:11" x14ac:dyDescent="0.25">
      <c r="A5" s="3" t="s">
        <v>30</v>
      </c>
      <c r="B5" s="4">
        <v>39</v>
      </c>
      <c r="H5" t="s">
        <v>15</v>
      </c>
    </row>
    <row r="6" spans="1:11" x14ac:dyDescent="0.25">
      <c r="H6" t="s">
        <v>21</v>
      </c>
    </row>
    <row r="7" spans="1:11" ht="15.75" x14ac:dyDescent="0.25">
      <c r="A7" s="2" t="s">
        <v>29</v>
      </c>
      <c r="B7" t="s">
        <v>31</v>
      </c>
      <c r="F7" t="s">
        <v>57</v>
      </c>
      <c r="H7" s="40" t="s">
        <v>25</v>
      </c>
    </row>
    <row r="8" spans="1:11" x14ac:dyDescent="0.25">
      <c r="A8" s="3" t="s">
        <v>32</v>
      </c>
      <c r="B8" s="4">
        <v>10</v>
      </c>
      <c r="D8" t="s">
        <v>53</v>
      </c>
      <c r="E8">
        <f>VLOOKUP(D8,A$8:B$10,2,FALSE)</f>
        <v>10</v>
      </c>
      <c r="F8">
        <f>IF(E8=MAX(E$8:E$10),E8,"")</f>
        <v>10</v>
      </c>
    </row>
    <row r="9" spans="1:11" x14ac:dyDescent="0.25">
      <c r="A9" s="3" t="s">
        <v>33</v>
      </c>
      <c r="B9" s="4">
        <v>8</v>
      </c>
      <c r="D9" t="s">
        <v>54</v>
      </c>
      <c r="E9">
        <f>VLOOKUP(D9,A$8:B$10,2,FALSE)</f>
        <v>8</v>
      </c>
    </row>
    <row r="10" spans="1:11" x14ac:dyDescent="0.25">
      <c r="A10" s="3" t="s">
        <v>34</v>
      </c>
      <c r="B10" s="4">
        <v>7</v>
      </c>
      <c r="D10" t="s">
        <v>55</v>
      </c>
      <c r="E10">
        <f>VLOOKUP(D10,A$8:B$10,2,FALSE)</f>
        <v>7</v>
      </c>
      <c r="I10" t="s">
        <v>2</v>
      </c>
      <c r="K10" t="s">
        <v>60</v>
      </c>
    </row>
    <row r="11" spans="1:11" x14ac:dyDescent="0.25">
      <c r="A11" s="3" t="s">
        <v>30</v>
      </c>
      <c r="B11" s="4">
        <v>25</v>
      </c>
      <c r="I11" t="s">
        <v>27</v>
      </c>
      <c r="K11" t="s">
        <v>53</v>
      </c>
    </row>
    <row r="12" spans="1:11" x14ac:dyDescent="0.25">
      <c r="I12" t="s">
        <v>17</v>
      </c>
      <c r="K12" t="s">
        <v>54</v>
      </c>
    </row>
    <row r="13" spans="1:11" x14ac:dyDescent="0.25">
      <c r="A13" s="2" t="s">
        <v>29</v>
      </c>
      <c r="B13" t="s">
        <v>35</v>
      </c>
      <c r="C13" t="s">
        <v>56</v>
      </c>
      <c r="K13" t="s">
        <v>55</v>
      </c>
    </row>
    <row r="14" spans="1:11" x14ac:dyDescent="0.25">
      <c r="A14" s="3" t="s">
        <v>32</v>
      </c>
      <c r="B14" s="1">
        <v>17500000</v>
      </c>
      <c r="C14" s="1">
        <v>17500000</v>
      </c>
    </row>
    <row r="15" spans="1:11" x14ac:dyDescent="0.25">
      <c r="A15" s="3" t="s">
        <v>33</v>
      </c>
      <c r="B15" s="1">
        <v>13000000</v>
      </c>
      <c r="C15" s="1">
        <v>13000000</v>
      </c>
    </row>
    <row r="16" spans="1:11" x14ac:dyDescent="0.25">
      <c r="A16" s="3" t="s">
        <v>34</v>
      </c>
      <c r="B16" s="1">
        <v>7650000</v>
      </c>
      <c r="C16" s="1">
        <v>7650000</v>
      </c>
    </row>
    <row r="17" spans="1:3" x14ac:dyDescent="0.25">
      <c r="A17" s="3" t="s">
        <v>30</v>
      </c>
      <c r="B17" s="1">
        <v>38150000</v>
      </c>
      <c r="C17" s="1">
        <v>38150000</v>
      </c>
    </row>
    <row r="19" spans="1:3" x14ac:dyDescent="0.25">
      <c r="A19" s="2" t="s">
        <v>29</v>
      </c>
      <c r="B19" t="s">
        <v>35</v>
      </c>
      <c r="C19" t="s">
        <v>56</v>
      </c>
    </row>
    <row r="20" spans="1:3" x14ac:dyDescent="0.25">
      <c r="A20" s="3" t="s">
        <v>32</v>
      </c>
      <c r="B20" s="1">
        <v>10000000</v>
      </c>
      <c r="C20" s="1">
        <v>10000000</v>
      </c>
    </row>
    <row r="21" spans="1:3" x14ac:dyDescent="0.25">
      <c r="A21" s="3" t="s">
        <v>33</v>
      </c>
      <c r="B21" s="1">
        <v>12000000</v>
      </c>
      <c r="C21" s="1">
        <v>12000000</v>
      </c>
    </row>
    <row r="22" spans="1:3" x14ac:dyDescent="0.25">
      <c r="A22" s="3" t="s">
        <v>34</v>
      </c>
      <c r="B22" s="1">
        <v>8400000</v>
      </c>
      <c r="C22" s="1">
        <v>8400000</v>
      </c>
    </row>
    <row r="23" spans="1:3" x14ac:dyDescent="0.25">
      <c r="A23" s="3" t="s">
        <v>30</v>
      </c>
      <c r="B23" s="1">
        <v>30400000</v>
      </c>
      <c r="C23" s="1">
        <v>30400000</v>
      </c>
    </row>
    <row r="25" spans="1:3" x14ac:dyDescent="0.25">
      <c r="A25" t="s">
        <v>51</v>
      </c>
      <c r="B25" t="s">
        <v>52</v>
      </c>
    </row>
    <row r="26" spans="1:3" x14ac:dyDescent="0.25">
      <c r="A26" s="4">
        <v>82</v>
      </c>
      <c r="B26" s="1">
        <v>82150000</v>
      </c>
    </row>
    <row r="28" spans="1:3" x14ac:dyDescent="0.25">
      <c r="A28" t="s">
        <v>31</v>
      </c>
      <c r="B28" t="s">
        <v>35</v>
      </c>
    </row>
    <row r="29" spans="1:3" x14ac:dyDescent="0.25">
      <c r="A29" s="4">
        <v>39</v>
      </c>
      <c r="B29" s="1">
        <v>38150000</v>
      </c>
    </row>
    <row r="31" spans="1:3" x14ac:dyDescent="0.25">
      <c r="A31" t="s">
        <v>31</v>
      </c>
      <c r="B31" t="s">
        <v>35</v>
      </c>
    </row>
    <row r="32" spans="1:3" x14ac:dyDescent="0.25">
      <c r="A32" s="4">
        <v>25</v>
      </c>
      <c r="B32" s="1">
        <v>30400000</v>
      </c>
    </row>
    <row r="34" spans="1:2" x14ac:dyDescent="0.25">
      <c r="A34" s="2" t="s">
        <v>29</v>
      </c>
      <c r="B34" t="s">
        <v>51</v>
      </c>
    </row>
    <row r="35" spans="1:2" x14ac:dyDescent="0.25">
      <c r="A35" s="3" t="s">
        <v>27</v>
      </c>
      <c r="B35" s="4">
        <v>40</v>
      </c>
    </row>
    <row r="36" spans="1:2" x14ac:dyDescent="0.25">
      <c r="A36" s="3" t="s">
        <v>17</v>
      </c>
      <c r="B36" s="4">
        <v>42</v>
      </c>
    </row>
    <row r="37" spans="1:2" x14ac:dyDescent="0.25">
      <c r="A37" s="3" t="s">
        <v>30</v>
      </c>
      <c r="B37" s="4">
        <v>82</v>
      </c>
    </row>
    <row r="39" spans="1:2" x14ac:dyDescent="0.25">
      <c r="A39" s="2" t="s">
        <v>29</v>
      </c>
      <c r="B39" t="s">
        <v>52</v>
      </c>
    </row>
    <row r="40" spans="1:2" x14ac:dyDescent="0.25">
      <c r="A40" s="3" t="s">
        <v>27</v>
      </c>
      <c r="B40" s="1">
        <v>44800000</v>
      </c>
    </row>
    <row r="41" spans="1:2" x14ac:dyDescent="0.25">
      <c r="A41" s="3" t="s">
        <v>17</v>
      </c>
      <c r="B41" s="1">
        <v>37350000</v>
      </c>
    </row>
    <row r="42" spans="1:2" x14ac:dyDescent="0.25">
      <c r="A42" s="3" t="s">
        <v>30</v>
      </c>
      <c r="B42" s="1">
        <v>82150000</v>
      </c>
    </row>
    <row r="44" spans="1:2" x14ac:dyDescent="0.25">
      <c r="A44" s="2" t="s">
        <v>29</v>
      </c>
      <c r="B44" t="s">
        <v>31</v>
      </c>
    </row>
    <row r="45" spans="1:2" x14ac:dyDescent="0.25">
      <c r="A45" s="3" t="s">
        <v>27</v>
      </c>
      <c r="B45" s="4">
        <v>19</v>
      </c>
    </row>
    <row r="46" spans="1:2" x14ac:dyDescent="0.25">
      <c r="A46" s="3" t="s">
        <v>17</v>
      </c>
      <c r="B46" s="4">
        <v>20</v>
      </c>
    </row>
    <row r="47" spans="1:2" x14ac:dyDescent="0.25">
      <c r="A47" s="3" t="s">
        <v>30</v>
      </c>
      <c r="B47" s="4">
        <v>39</v>
      </c>
    </row>
    <row r="49" spans="1:2" x14ac:dyDescent="0.25">
      <c r="A49" s="2" t="s">
        <v>29</v>
      </c>
      <c r="B49" t="s">
        <v>35</v>
      </c>
    </row>
    <row r="50" spans="1:2" x14ac:dyDescent="0.25">
      <c r="A50" s="3" t="s">
        <v>27</v>
      </c>
      <c r="B50" s="1">
        <v>20650000</v>
      </c>
    </row>
    <row r="51" spans="1:2" x14ac:dyDescent="0.25">
      <c r="A51" s="3" t="s">
        <v>17</v>
      </c>
      <c r="B51" s="1">
        <v>17500000</v>
      </c>
    </row>
    <row r="52" spans="1:2" x14ac:dyDescent="0.25">
      <c r="A52" s="3" t="s">
        <v>30</v>
      </c>
      <c r="B52" s="1">
        <v>38150000</v>
      </c>
    </row>
    <row r="54" spans="1:2" x14ac:dyDescent="0.25">
      <c r="A54" s="2" t="s">
        <v>29</v>
      </c>
      <c r="B54" t="s">
        <v>31</v>
      </c>
    </row>
    <row r="55" spans="1:2" x14ac:dyDescent="0.25">
      <c r="A55" s="3" t="s">
        <v>27</v>
      </c>
      <c r="B55" s="4">
        <v>15</v>
      </c>
    </row>
    <row r="56" spans="1:2" x14ac:dyDescent="0.25">
      <c r="A56" s="3" t="s">
        <v>17</v>
      </c>
      <c r="B56" s="4">
        <v>10</v>
      </c>
    </row>
    <row r="57" spans="1:2" x14ac:dyDescent="0.25">
      <c r="A57" s="3" t="s">
        <v>30</v>
      </c>
      <c r="B57" s="4">
        <v>25</v>
      </c>
    </row>
    <row r="59" spans="1:2" x14ac:dyDescent="0.25">
      <c r="A59" s="2" t="s">
        <v>29</v>
      </c>
      <c r="B59" t="s">
        <v>35</v>
      </c>
    </row>
    <row r="60" spans="1:2" x14ac:dyDescent="0.25">
      <c r="A60" s="3" t="s">
        <v>27</v>
      </c>
      <c r="B60" s="1">
        <v>20400000</v>
      </c>
    </row>
    <row r="61" spans="1:2" x14ac:dyDescent="0.25">
      <c r="A61" s="3" t="s">
        <v>17</v>
      </c>
      <c r="B61" s="1">
        <v>10000000</v>
      </c>
    </row>
    <row r="62" spans="1:2" x14ac:dyDescent="0.25">
      <c r="A62" s="3" t="s">
        <v>30</v>
      </c>
      <c r="B62" s="1">
        <v>30400000</v>
      </c>
    </row>
    <row r="64" spans="1:2" x14ac:dyDescent="0.25">
      <c r="A64" s="2" t="s">
        <v>29</v>
      </c>
      <c r="B64" t="s">
        <v>35</v>
      </c>
    </row>
    <row r="65" spans="1:6" x14ac:dyDescent="0.25">
      <c r="A65" s="3" t="s">
        <v>16</v>
      </c>
      <c r="B65" s="1">
        <v>5000000</v>
      </c>
    </row>
    <row r="66" spans="1:6" x14ac:dyDescent="0.25">
      <c r="A66" s="3" t="s">
        <v>28</v>
      </c>
      <c r="B66" s="1">
        <v>8400000</v>
      </c>
    </row>
    <row r="67" spans="1:6" x14ac:dyDescent="0.25">
      <c r="A67" s="3" t="s">
        <v>26</v>
      </c>
      <c r="B67" s="1">
        <v>12000000</v>
      </c>
    </row>
    <row r="68" spans="1:6" x14ac:dyDescent="0.25">
      <c r="A68" s="3" t="s">
        <v>30</v>
      </c>
      <c r="B68" s="1">
        <v>25400000</v>
      </c>
    </row>
    <row r="69" spans="1:6" x14ac:dyDescent="0.25">
      <c r="A69" s="2" t="s">
        <v>50</v>
      </c>
      <c r="B69" t="s">
        <v>59</v>
      </c>
    </row>
    <row r="71" spans="1:6" x14ac:dyDescent="0.25">
      <c r="A71" s="2" t="s">
        <v>29</v>
      </c>
      <c r="B71" t="s">
        <v>51</v>
      </c>
    </row>
    <row r="72" spans="1:6" x14ac:dyDescent="0.25">
      <c r="A72" s="3" t="s">
        <v>58</v>
      </c>
      <c r="B72" s="4">
        <v>0</v>
      </c>
      <c r="D72" t="str">
        <f>A72</f>
        <v>A50</v>
      </c>
      <c r="E72">
        <f>VLOOKUP(D72,A$72:B$73,2,FALSE)</f>
        <v>0</v>
      </c>
      <c r="F72" t="str">
        <f>IF(E72=0,"Stock Non disponible","stock faible")</f>
        <v>Stock Non disponible</v>
      </c>
    </row>
    <row r="73" spans="1:6" x14ac:dyDescent="0.25">
      <c r="A73" s="3" t="s">
        <v>38</v>
      </c>
      <c r="B73" s="4">
        <v>2</v>
      </c>
      <c r="D73" t="str">
        <f>A73</f>
        <v>S8</v>
      </c>
      <c r="E73">
        <f>VLOOKUP(D73,A$72:B$73,2,FALSE)</f>
        <v>2</v>
      </c>
      <c r="F73" t="str">
        <f>IF(E73=0,"Stock Non disponible","stock faible")</f>
        <v>stock faible</v>
      </c>
    </row>
    <row r="74" spans="1:6" x14ac:dyDescent="0.25">
      <c r="A74" s="3" t="s">
        <v>30</v>
      </c>
      <c r="B74" s="4">
        <v>2</v>
      </c>
    </row>
  </sheetData>
  <phoneticPr fontId="7" type="noConversion"/>
  <pageMargins left="0.7" right="0.7" top="0.75" bottom="0.75" header="0.3" footer="0.3"/>
  <drawing r:id="rId16"/>
  <tableParts count="3">
    <tablePart r:id="rId17"/>
    <tablePart r:id="rId18"/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Tableau de Bord</vt:lpstr>
      <vt:lpstr>Operations</vt:lpstr>
      <vt:lpstr>Marchandise</vt:lpstr>
      <vt:lpstr>Entrées</vt:lpstr>
      <vt:lpstr>Sorties</vt:lpstr>
      <vt:lpstr>Iventaire</vt:lpstr>
      <vt:lpstr>Traitement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AdulRahmane</dc:creator>
  <cp:lastModifiedBy>AdulRahmane</cp:lastModifiedBy>
  <dcterms:created xsi:type="dcterms:W3CDTF">2023-03-11T08:39:08Z</dcterms:created>
  <dcterms:modified xsi:type="dcterms:W3CDTF">2023-03-12T19:02:26Z</dcterms:modified>
</cp:coreProperties>
</file>